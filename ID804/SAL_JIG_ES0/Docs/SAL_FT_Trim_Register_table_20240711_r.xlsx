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on\OneDrive\바탕 화면\업무리스트\SAL\"/>
    </mc:Choice>
  </mc:AlternateContent>
  <xr:revisionPtr revIDLastSave="0" documentId="8_{FD1245AB-F00D-4330-918D-EAE6876D9DC9}" xr6:coauthVersionLast="47" xr6:coauthVersionMax="47" xr10:uidLastSave="{00000000-0000-0000-0000-000000000000}"/>
  <bookViews>
    <workbookView xWindow="38280" yWindow="-120" windowWidth="29040" windowHeight="15720" activeTab="1" xr2:uid="{A6DF6BF6-61A5-47C7-88DD-386B9E36A787}"/>
  </bookViews>
  <sheets>
    <sheet name="RegisterTable" sheetId="1" r:id="rId1"/>
    <sheet name="TrimProced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1" i="2" l="1"/>
  <c r="W150" i="2"/>
  <c r="W149" i="2"/>
  <c r="W148" i="2"/>
  <c r="W147" i="2"/>
  <c r="W145" i="2"/>
  <c r="W127" i="2"/>
  <c r="W124" i="2"/>
  <c r="W121" i="2"/>
  <c r="W125" i="2"/>
  <c r="W122" i="2"/>
  <c r="W119" i="2"/>
  <c r="W117" i="2"/>
  <c r="W108" i="2"/>
  <c r="W109" i="2"/>
  <c r="W106" i="2"/>
  <c r="W104" i="2"/>
  <c r="W94" i="2"/>
  <c r="W95" i="2"/>
  <c r="W92" i="2"/>
  <c r="AA64" i="1"/>
  <c r="AA63" i="1"/>
  <c r="AA62" i="1"/>
  <c r="AA61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W90" i="2" l="1"/>
  <c r="W81" i="2"/>
  <c r="W79" i="2"/>
  <c r="W71" i="2"/>
  <c r="W69" i="2"/>
  <c r="W61" i="2"/>
  <c r="W59" i="2"/>
  <c r="W52" i="2"/>
  <c r="W50" i="2"/>
  <c r="W42" i="2"/>
  <c r="W40" i="2"/>
  <c r="W32" i="2"/>
  <c r="W30" i="2"/>
  <c r="W19" i="2"/>
  <c r="W17" i="2"/>
  <c r="W29" i="1"/>
  <c r="W28" i="1"/>
  <c r="W27" i="1"/>
  <c r="W26" i="1"/>
  <c r="W25" i="1"/>
  <c r="W24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8" i="1"/>
  <c r="W7" i="1"/>
  <c r="W6" i="1"/>
  <c r="W5" i="1"/>
</calcChain>
</file>

<file path=xl/sharedStrings.xml><?xml version="1.0" encoding="utf-8"?>
<sst xmlns="http://schemas.openxmlformats.org/spreadsheetml/2006/main" count="1583" uniqueCount="349">
  <si>
    <t>ADDR</t>
    <phoneticPr fontId="4" type="noConversion"/>
  </si>
  <si>
    <t>Register</t>
    <phoneticPr fontId="4" type="noConversion"/>
  </si>
  <si>
    <t>Reset
Type</t>
  </si>
  <si>
    <t>Read
Write</t>
  </si>
  <si>
    <t>D15</t>
  </si>
  <si>
    <t>D14</t>
  </si>
  <si>
    <t>D13</t>
  </si>
  <si>
    <t>D12</t>
  </si>
  <si>
    <t>D11</t>
    <phoneticPr fontId="4" type="noConversion"/>
  </si>
  <si>
    <t>D10</t>
    <phoneticPr fontId="4" type="noConversion"/>
  </si>
  <si>
    <t>D9</t>
    <phoneticPr fontId="4" type="noConversion"/>
  </si>
  <si>
    <t>D8</t>
    <phoneticPr fontId="4" type="noConversion"/>
  </si>
  <si>
    <t>D7</t>
    <phoneticPr fontId="4" type="noConversion"/>
  </si>
  <si>
    <t>D6</t>
    <phoneticPr fontId="4" type="noConversion"/>
  </si>
  <si>
    <t>D5</t>
  </si>
  <si>
    <t>D4</t>
  </si>
  <si>
    <t>D3</t>
  </si>
  <si>
    <t>D2</t>
  </si>
  <si>
    <t>D1</t>
  </si>
  <si>
    <t>D0</t>
  </si>
  <si>
    <t>DEFAULT
bin</t>
  </si>
  <si>
    <t>DEFAULT</t>
  </si>
  <si>
    <t>I2C@TESTMODE</t>
  </si>
  <si>
    <t>OTP_CONTROL</t>
    <phoneticPr fontId="2" type="noConversion"/>
  </si>
  <si>
    <t>0xE0</t>
    <phoneticPr fontId="2" type="noConversion"/>
  </si>
  <si>
    <t>TRIM_CONTROL</t>
    <phoneticPr fontId="2" type="noConversion"/>
  </si>
  <si>
    <t>POR</t>
    <phoneticPr fontId="2" type="noConversion"/>
  </si>
  <si>
    <t>RW</t>
    <phoneticPr fontId="2" type="noConversion"/>
  </si>
  <si>
    <t>dumy</t>
    <phoneticPr fontId="2" type="noConversion"/>
  </si>
  <si>
    <t>TEST_E</t>
    <phoneticPr fontId="2" type="noConversion"/>
  </si>
  <si>
    <t>CKO_E</t>
    <phoneticPr fontId="2" type="noConversion"/>
  </si>
  <si>
    <t>ADC_CLK_POL</t>
    <phoneticPr fontId="2" type="noConversion"/>
  </si>
  <si>
    <t>ANA_MOD_SEL [2:0]</t>
    <phoneticPr fontId="2" type="noConversion"/>
  </si>
  <si>
    <t>T_ANA_SEL[2:0]</t>
    <phoneticPr fontId="2" type="noConversion"/>
  </si>
  <si>
    <t>PWM_MAX_R_E</t>
    <phoneticPr fontId="2" type="noConversion"/>
  </si>
  <si>
    <t>PWM_MAX_G_E</t>
    <phoneticPr fontId="2" type="noConversion"/>
  </si>
  <si>
    <t>PWM_MAX_B_E</t>
    <phoneticPr fontId="2" type="noConversion"/>
  </si>
  <si>
    <t>0000_0000_0000</t>
    <phoneticPr fontId="4" type="noConversion"/>
  </si>
  <si>
    <t>0xE1</t>
  </si>
  <si>
    <t>OTP_CONTROL1</t>
  </si>
  <si>
    <t>OTP_PG2</t>
    <phoneticPr fontId="2" type="noConversion"/>
  </si>
  <si>
    <t>OTP_PG1</t>
    <phoneticPr fontId="2" type="noConversion"/>
  </si>
  <si>
    <t>T_ANA_E</t>
    <phoneticPr fontId="2" type="noConversion"/>
  </si>
  <si>
    <t>OTP_RD</t>
    <phoneticPr fontId="2" type="noConversion"/>
  </si>
  <si>
    <t>OTP_PG_ACC_CYCLE [15:12]</t>
    <phoneticPr fontId="2" type="noConversion"/>
  </si>
  <si>
    <t>0000_0100_0000</t>
    <phoneticPr fontId="4" type="noConversion"/>
  </si>
  <si>
    <t>0xE2</t>
  </si>
  <si>
    <t>OTP_CONTROL2</t>
  </si>
  <si>
    <t>OTP_PG_ACC_CYCLE [11:0]</t>
    <phoneticPr fontId="2" type="noConversion"/>
  </si>
  <si>
    <t>0001_0100_0000</t>
    <phoneticPr fontId="4" type="noConversion"/>
  </si>
  <si>
    <t>0xE3</t>
  </si>
  <si>
    <t>OTP_CONTROL3</t>
  </si>
  <si>
    <t>PROTECT [11:0]</t>
    <phoneticPr fontId="2" type="noConversion"/>
  </si>
  <si>
    <t>0101_1010_0101</t>
    <phoneticPr fontId="4" type="noConversion"/>
  </si>
  <si>
    <t>OTP_WAFER</t>
    <phoneticPr fontId="2" type="noConversion"/>
  </si>
  <si>
    <t>0xE4</t>
  </si>
  <si>
    <t>OTP1_MIRROR1</t>
    <phoneticPr fontId="2" type="noConversion"/>
  </si>
  <si>
    <t>SIO1_TR_TX_BIAS [2:0]</t>
    <phoneticPr fontId="2" type="noConversion"/>
  </si>
  <si>
    <t>SIO2_TR_TX_BIAS [2:0]</t>
    <phoneticPr fontId="2" type="noConversion"/>
  </si>
  <si>
    <t>V_TRIM_BGR [5:0]</t>
    <phoneticPr fontId="2" type="noConversion"/>
  </si>
  <si>
    <t>0000_0010_0000</t>
    <phoneticPr fontId="7" type="noConversion"/>
  </si>
  <si>
    <t>0xE5</t>
  </si>
  <si>
    <t>OTP1_MIRROR2</t>
    <phoneticPr fontId="2" type="noConversion"/>
  </si>
  <si>
    <t>SIO1_TR_RES [1:0]</t>
    <phoneticPr fontId="2" type="noConversion"/>
  </si>
  <si>
    <t>SIO2_TR_RES [1:0]</t>
    <phoneticPr fontId="2" type="noConversion"/>
  </si>
  <si>
    <t>VLDO_CTRL [2:0]</t>
    <phoneticPr fontId="2" type="noConversion"/>
  </si>
  <si>
    <t>I_TRIM_BGR [4:0]</t>
    <phoneticPr fontId="7" type="noConversion"/>
  </si>
  <si>
    <t>0000_0001_0000</t>
    <phoneticPr fontId="7" type="noConversion"/>
  </si>
  <si>
    <t>0xE6</t>
  </si>
  <si>
    <t>OTP1_MIRROR3</t>
  </si>
  <si>
    <t>na</t>
    <phoneticPr fontId="2" type="noConversion"/>
  </si>
  <si>
    <t>TEMP_TRIM_BGR [5:0]</t>
    <phoneticPr fontId="2" type="noConversion"/>
  </si>
  <si>
    <t>BGR_R1_TRIM&lt;3:0&gt;</t>
  </si>
  <si>
    <t>0010_0000_1000</t>
    <phoneticPr fontId="7" type="noConversion"/>
  </si>
  <si>
    <t>0xE7</t>
  </si>
  <si>
    <t>OTP1_MIRROR4</t>
  </si>
  <si>
    <t>OSC_CTL [7:0]</t>
    <phoneticPr fontId="2" type="noConversion"/>
  </si>
  <si>
    <t>BGR_R2_TRIM&lt;3:0&gt;</t>
  </si>
  <si>
    <t>0000_0000_1000</t>
    <phoneticPr fontId="2" type="noConversion"/>
  </si>
  <si>
    <t>0xE8</t>
  </si>
  <si>
    <t>OTP1_MIRROR5</t>
  </si>
  <si>
    <t>RSVD</t>
  </si>
  <si>
    <t>0000_0000_0000</t>
    <phoneticPr fontId="2" type="noConversion"/>
  </si>
  <si>
    <t>0xE9</t>
  </si>
  <si>
    <t>OTP1_MIRROR6</t>
  </si>
  <si>
    <t>0xEA</t>
    <phoneticPr fontId="2" type="noConversion"/>
  </si>
  <si>
    <t>OTP1_MIRROR7</t>
  </si>
  <si>
    <t>ADC_OFFSET [8:0]</t>
    <phoneticPr fontId="2" type="noConversion"/>
  </si>
  <si>
    <t>0xEB</t>
    <phoneticPr fontId="2" type="noConversion"/>
  </si>
  <si>
    <t>OTP1_MIRROR8</t>
  </si>
  <si>
    <t>ADC_GAIN [4:0]</t>
    <phoneticPr fontId="2" type="noConversion"/>
  </si>
  <si>
    <t>0000_0001_0000</t>
    <phoneticPr fontId="2" type="noConversion"/>
  </si>
  <si>
    <t>0xEC</t>
    <phoneticPr fontId="2" type="noConversion"/>
  </si>
  <si>
    <t>OTP1_MIRROR9</t>
  </si>
  <si>
    <t>ITRIM_R [7:0]</t>
    <phoneticPr fontId="2" type="noConversion"/>
  </si>
  <si>
    <t>0000_1000_0000</t>
    <phoneticPr fontId="7" type="noConversion"/>
  </si>
  <si>
    <t>0xED</t>
    <phoneticPr fontId="2" type="noConversion"/>
  </si>
  <si>
    <t>OTP1_MIRROR10</t>
  </si>
  <si>
    <t>ITRIM_G [7:0]</t>
    <phoneticPr fontId="2" type="noConversion"/>
  </si>
  <si>
    <t>0xEE</t>
    <phoneticPr fontId="2" type="noConversion"/>
  </si>
  <si>
    <t>OTP1_MIRROR11</t>
  </si>
  <si>
    <t>ITRIM_B [7:0]</t>
    <phoneticPr fontId="2" type="noConversion"/>
  </si>
  <si>
    <t>0xEF</t>
    <phoneticPr fontId="2" type="noConversion"/>
  </si>
  <si>
    <t>OTP1_MIRROR12</t>
  </si>
  <si>
    <t>TC_BASE [9:0]</t>
    <phoneticPr fontId="2" type="noConversion"/>
  </si>
  <si>
    <t>0000_0000_0000</t>
    <phoneticPr fontId="7" type="noConversion"/>
  </si>
  <si>
    <t>0xF0</t>
    <phoneticPr fontId="2" type="noConversion"/>
  </si>
  <si>
    <t>OTP1_MIRROR13</t>
  </si>
  <si>
    <t>TC_OFFSET [9:0]</t>
    <phoneticPr fontId="2" type="noConversion"/>
  </si>
  <si>
    <t>0000_0000_0000</t>
  </si>
  <si>
    <t>OTP_PACKAGE</t>
    <phoneticPr fontId="2" type="noConversion"/>
  </si>
  <si>
    <t>0xF1</t>
    <phoneticPr fontId="2" type="noConversion"/>
  </si>
  <si>
    <t>OTP2_MIRROR14</t>
    <phoneticPr fontId="2" type="noConversion"/>
  </si>
  <si>
    <t>PWM_MAX_R [11:0]</t>
    <phoneticPr fontId="2" type="noConversion"/>
  </si>
  <si>
    <t>0xF2</t>
  </si>
  <si>
    <t>OTP2_MIRROR15</t>
  </si>
  <si>
    <t>PWM_MAX_G [11:0]</t>
    <phoneticPr fontId="2" type="noConversion"/>
  </si>
  <si>
    <t>0xF3</t>
  </si>
  <si>
    <t>OTP2_MIRROR16</t>
  </si>
  <si>
    <t>PWM_MAX_B [11:0]</t>
    <phoneticPr fontId="2" type="noConversion"/>
  </si>
  <si>
    <t>0xF4</t>
  </si>
  <si>
    <t>OTP2_MIRROR17</t>
  </si>
  <si>
    <t>OTP_CRC[7:0]</t>
    <phoneticPr fontId="2" type="noConversion"/>
  </si>
  <si>
    <t>0xF5</t>
    <phoneticPr fontId="2" type="noConversion"/>
  </si>
  <si>
    <t>OTP2_MIRROR18</t>
  </si>
  <si>
    <t>0xF6</t>
    <phoneticPr fontId="2" type="noConversion"/>
  </si>
  <si>
    <t>OTP2_MIRROR19</t>
  </si>
  <si>
    <t>1. V_TRIM_BGR</t>
    <phoneticPr fontId="2" type="noConversion"/>
  </si>
  <si>
    <t>Test Mode Select</t>
    <phoneticPr fontId="2" type="noConversion"/>
  </si>
  <si>
    <t>TESTMODE0</t>
    <phoneticPr fontId="2" type="noConversion"/>
  </si>
  <si>
    <t>Pin</t>
    <phoneticPr fontId="2" type="noConversion"/>
  </si>
  <si>
    <t>Normal</t>
    <phoneticPr fontId="2" type="noConversion"/>
  </si>
  <si>
    <t>I2C</t>
    <phoneticPr fontId="2" type="noConversion"/>
  </si>
  <si>
    <t>a. TESTMODE0 pin을 '1' 로 만듬</t>
    <phoneticPr fontId="2" type="noConversion"/>
  </si>
  <si>
    <t>R1, R2 Trim은 다음과 같이 수행</t>
    <phoneticPr fontId="2" type="noConversion"/>
  </si>
  <si>
    <t>R1 : 0000 일때 R2 : 0000 ~ 1111까지 수행</t>
    <phoneticPr fontId="2" type="noConversion"/>
  </si>
  <si>
    <t>2. I_TRIM_BGR</t>
    <phoneticPr fontId="2" type="noConversion"/>
  </si>
  <si>
    <t>c. TEST_V Pin에 측정되는 초기 전류측정 후, I_TRIM_BGR[4:0]을 Trim하여 Target전류 1uA 측정값을 가질때까지 Trim</t>
    <phoneticPr fontId="2" type="noConversion"/>
  </si>
  <si>
    <t>3. TEMP_TRIM_BGR</t>
    <phoneticPr fontId="2" type="noConversion"/>
  </si>
  <si>
    <t>T_ANA_SEL&lt;2:0&gt;</t>
  </si>
  <si>
    <t>&lt;2&gt;</t>
  </si>
  <si>
    <t>&lt;1&gt;</t>
  </si>
  <si>
    <t>&lt;0&gt;</t>
  </si>
  <si>
    <t>Descriptions</t>
  </si>
  <si>
    <t>OUT</t>
  </si>
  <si>
    <t xml:space="preserve">Temperature </t>
  </si>
  <si>
    <t>IN</t>
  </si>
  <si>
    <t>External V</t>
  </si>
  <si>
    <t>VREF_TEST</t>
  </si>
  <si>
    <t>1.2V TEST</t>
  </si>
  <si>
    <t>VLDO_1.5V</t>
  </si>
  <si>
    <t>IBN_1U</t>
  </si>
  <si>
    <t>N/A　</t>
  </si>
  <si>
    <t>Reserved</t>
  </si>
  <si>
    <t>RESETB for DFT</t>
  </si>
  <si>
    <t>4. LDO_CTL</t>
    <phoneticPr fontId="2" type="noConversion"/>
  </si>
  <si>
    <t>5. OSC_CTL</t>
    <phoneticPr fontId="2" type="noConversion"/>
  </si>
  <si>
    <t>b. TEST_E을 '1', T_ANA_SEL[2:0]을 001로 Enable시킴</t>
    <phoneticPr fontId="2" type="noConversion"/>
  </si>
  <si>
    <t>b. TEST_E을 '1', T_ANA_SEL[2:0]을 000으로 Enable시킴</t>
    <phoneticPr fontId="2" type="noConversion"/>
  </si>
  <si>
    <t>b. TEST_E을 '1', T_ANA_SEL[2:0]을 100으로 Enable시킴</t>
    <phoneticPr fontId="2" type="noConversion"/>
  </si>
  <si>
    <t>b. TEST_E을 '1', CKO_EN 을 '1', T_ANA_SEL[2:0]을 110으로 Enable시킴 ( Reserved )</t>
    <phoneticPr fontId="2" type="noConversion"/>
  </si>
  <si>
    <t>b. TEST_E을 '1',  T_ANA_SEL[2:0]을 110으로 Enable시킴 ( Reserved )</t>
    <phoneticPr fontId="2" type="noConversion"/>
  </si>
  <si>
    <t>d. Register setting 후, SIO1N,P SIO2N,P의 전류 측정 후, Target값을 찾을 때까지 Trim</t>
    <phoneticPr fontId="2" type="noConversion"/>
  </si>
  <si>
    <t>6. LVDS( Tx drive current)</t>
    <phoneticPr fontId="2" type="noConversion"/>
  </si>
  <si>
    <t>7. LVDS (Rx resistance)</t>
    <phoneticPr fontId="2" type="noConversion"/>
  </si>
  <si>
    <t>Frame Data@NORMAL</t>
    <phoneticPr fontId="4" type="noConversion"/>
  </si>
  <si>
    <t>D15</t>
    <phoneticPr fontId="4" type="noConversion"/>
  </si>
  <si>
    <t>D14</t>
    <phoneticPr fontId="4" type="noConversion"/>
  </si>
  <si>
    <t>D11</t>
  </si>
  <si>
    <t>D10</t>
  </si>
  <si>
    <t>D9</t>
  </si>
  <si>
    <t>D8</t>
  </si>
  <si>
    <t>D7</t>
  </si>
  <si>
    <t>D6</t>
  </si>
  <si>
    <t>0x01</t>
    <phoneticPr fontId="2" type="noConversion"/>
  </si>
  <si>
    <t>STATUS1</t>
    <phoneticPr fontId="4" type="noConversion"/>
  </si>
  <si>
    <t>POR, RESET</t>
    <phoneticPr fontId="4" type="noConversion"/>
  </si>
  <si>
    <t>RO</t>
    <phoneticPr fontId="4" type="noConversion"/>
  </si>
  <si>
    <t>IC_STATE[2:0]</t>
    <phoneticPr fontId="2" type="noConversion"/>
  </si>
  <si>
    <t>SIO2[1:0]</t>
    <phoneticPr fontId="2" type="noConversion"/>
  </si>
  <si>
    <t>SIO1[1:0]</t>
    <phoneticPr fontId="2" type="noConversion"/>
  </si>
  <si>
    <t>0x02</t>
    <phoneticPr fontId="2" type="noConversion"/>
  </si>
  <si>
    <t>STATUS2</t>
    <phoneticPr fontId="4" type="noConversion"/>
  </si>
  <si>
    <t>RC</t>
    <phoneticPr fontId="4" type="noConversion"/>
  </si>
  <si>
    <t>OTPCRC</t>
    <phoneticPr fontId="2" type="noConversion"/>
  </si>
  <si>
    <t>T_OUT</t>
    <phoneticPr fontId="2" type="noConversion"/>
  </si>
  <si>
    <t>OPEN_R</t>
    <phoneticPr fontId="2" type="noConversion"/>
  </si>
  <si>
    <t>OPEN_G</t>
    <phoneticPr fontId="2" type="noConversion"/>
  </si>
  <si>
    <t>OPEN_B</t>
    <phoneticPr fontId="2" type="noConversion"/>
  </si>
  <si>
    <t>SHORT_R</t>
    <phoneticPr fontId="2" type="noConversion"/>
  </si>
  <si>
    <t>SHORT_G</t>
    <phoneticPr fontId="2" type="noConversion"/>
  </si>
  <si>
    <t>SHORT_B</t>
    <phoneticPr fontId="2" type="noConversion"/>
  </si>
  <si>
    <t>OT_FLT</t>
    <phoneticPr fontId="2" type="noConversion"/>
  </si>
  <si>
    <t>UV_FLT</t>
    <phoneticPr fontId="2" type="noConversion"/>
  </si>
  <si>
    <t>CRC_FLT</t>
    <phoneticPr fontId="2" type="noConversion"/>
  </si>
  <si>
    <t>COM_FLT</t>
    <phoneticPr fontId="2" type="noConversion"/>
  </si>
  <si>
    <t>0x03</t>
  </si>
  <si>
    <t>TEMP</t>
    <phoneticPr fontId="4" type="noConversion"/>
  </si>
  <si>
    <t>TEMPERATURE[9:0]</t>
    <phoneticPr fontId="2" type="noConversion"/>
  </si>
  <si>
    <t>0x05</t>
    <phoneticPr fontId="4" type="noConversion"/>
  </si>
  <si>
    <t>VEXT_TM</t>
    <phoneticPr fontId="4" type="noConversion"/>
  </si>
  <si>
    <t>VEXT_TM[9:0]</t>
    <phoneticPr fontId="2" type="noConversion"/>
  </si>
  <si>
    <t>0x06</t>
    <phoneticPr fontId="4" type="noConversion"/>
  </si>
  <si>
    <t>SETUP1</t>
    <phoneticPr fontId="4" type="noConversion"/>
  </si>
  <si>
    <t>RW</t>
    <phoneticPr fontId="4" type="noConversion"/>
  </si>
  <si>
    <t>TC_E</t>
    <phoneticPr fontId="2" type="noConversion"/>
  </si>
  <si>
    <t>OS_FLT_E</t>
    <phoneticPr fontId="2" type="noConversion"/>
  </si>
  <si>
    <t>OT_FLT_E</t>
    <phoneticPr fontId="2" type="noConversion"/>
  </si>
  <si>
    <t>UV_FLT_E</t>
    <phoneticPr fontId="2" type="noConversion"/>
  </si>
  <si>
    <t>COM_FLT_E</t>
    <phoneticPr fontId="2" type="noConversion"/>
  </si>
  <si>
    <t>CRC_E</t>
    <phoneticPr fontId="2" type="noConversion"/>
  </si>
  <si>
    <t>PH_SHIFT_E</t>
    <phoneticPr fontId="2" type="noConversion"/>
  </si>
  <si>
    <t>LG_E</t>
    <phoneticPr fontId="2" type="noConversion"/>
  </si>
  <si>
    <t>F_PWM_DIV[3:0]</t>
    <phoneticPr fontId="2" type="noConversion"/>
  </si>
  <si>
    <t>0x07</t>
    <phoneticPr fontId="4" type="noConversion"/>
  </si>
  <si>
    <t>SETUP2</t>
    <phoneticPr fontId="4" type="noConversion"/>
  </si>
  <si>
    <t>CLK_INV_E</t>
    <phoneticPr fontId="2" type="noConversion"/>
  </si>
  <si>
    <t>VEXT_MON_E</t>
    <phoneticPr fontId="2" type="noConversion"/>
  </si>
  <si>
    <t>EVENT_CYC</t>
    <phoneticPr fontId="2" type="noConversion"/>
  </si>
  <si>
    <t>UV_LVL[1:0]</t>
    <phoneticPr fontId="2" type="noConversion"/>
  </si>
  <si>
    <t>SH_LVL[1:0]</t>
    <phoneticPr fontId="2" type="noConversion"/>
  </si>
  <si>
    <t>0000_0000_1110</t>
    <phoneticPr fontId="4" type="noConversion"/>
  </si>
  <si>
    <t>0x0A</t>
    <phoneticPr fontId="4" type="noConversion"/>
  </si>
  <si>
    <t>TEMPTH</t>
    <phoneticPr fontId="4" type="noConversion"/>
  </si>
  <si>
    <t>TEMP_THRESHOLD[9:0]</t>
    <phoneticPr fontId="2" type="noConversion"/>
  </si>
  <si>
    <t>0x0B</t>
    <phoneticPr fontId="4" type="noConversion"/>
  </si>
  <si>
    <t>TEMPHYS</t>
    <phoneticPr fontId="4" type="noConversion"/>
  </si>
  <si>
    <t>TEMP_HYSTERISIS[9:0]</t>
    <phoneticPr fontId="2" type="noConversion"/>
  </si>
  <si>
    <t>0x0C</t>
    <phoneticPr fontId="2" type="noConversion"/>
  </si>
  <si>
    <t>CAL_PWM_RED</t>
    <phoneticPr fontId="4" type="noConversion"/>
  </si>
  <si>
    <t>PWM_RED_VAL[11:0]</t>
    <phoneticPr fontId="2" type="noConversion"/>
  </si>
  <si>
    <t>0x0D</t>
    <phoneticPr fontId="2" type="noConversion"/>
  </si>
  <si>
    <t>CAL_PWM_GREEN</t>
    <phoneticPr fontId="4" type="noConversion"/>
  </si>
  <si>
    <t>PWM_GREEN_VAL[11:0]</t>
    <phoneticPr fontId="2" type="noConversion"/>
  </si>
  <si>
    <t>0x0E</t>
    <phoneticPr fontId="2" type="noConversion"/>
  </si>
  <si>
    <t>CAL_PWM_BLUE</t>
    <phoneticPr fontId="4" type="noConversion"/>
  </si>
  <si>
    <t>PWM_BLUE_VAL[11:0]</t>
    <phoneticPr fontId="2" type="noConversion"/>
  </si>
  <si>
    <t>0x0F</t>
    <phoneticPr fontId="4" type="noConversion"/>
  </si>
  <si>
    <t>CURR_MAX_LVL</t>
    <phoneticPr fontId="4" type="noConversion"/>
  </si>
  <si>
    <t>R_CURR_MAX_LVL[3:0]</t>
    <phoneticPr fontId="2" type="noConversion"/>
  </si>
  <si>
    <t>G_CURR_MAX_LVL[3:0]</t>
    <phoneticPr fontId="2" type="noConversion"/>
  </si>
  <si>
    <t>B_CURR_MAX_LVL[3:0]</t>
    <phoneticPr fontId="2" type="noConversion"/>
  </si>
  <si>
    <t>1000_1000_1000</t>
    <phoneticPr fontId="4" type="noConversion"/>
  </si>
  <si>
    <t>0x10</t>
    <phoneticPr fontId="4" type="noConversion"/>
  </si>
  <si>
    <t>TEMP_LUT_TC1</t>
    <phoneticPr fontId="4" type="noConversion"/>
  </si>
  <si>
    <t>TEMP_LUT_TC1 [9:0]</t>
    <phoneticPr fontId="4" type="noConversion"/>
  </si>
  <si>
    <t>0010_0000_0000</t>
    <phoneticPr fontId="4" type="noConversion"/>
  </si>
  <si>
    <t>0x11</t>
    <phoneticPr fontId="4" type="noConversion"/>
  </si>
  <si>
    <t>TEMP_LUT_TC2</t>
  </si>
  <si>
    <t>TEMP_LUT_TC2 [9:0]</t>
    <phoneticPr fontId="4" type="noConversion"/>
  </si>
  <si>
    <t>0x12</t>
    <phoneticPr fontId="4" type="noConversion"/>
  </si>
  <si>
    <t>TEMP_LUT_TC3</t>
  </si>
  <si>
    <t>TEMP_LUT_TC3 [9:0]</t>
    <phoneticPr fontId="4" type="noConversion"/>
  </si>
  <si>
    <t>0010_0001_1010</t>
    <phoneticPr fontId="4" type="noConversion"/>
  </si>
  <si>
    <t>0x13</t>
    <phoneticPr fontId="4" type="noConversion"/>
  </si>
  <si>
    <t>TEMP_LUT_TC4</t>
  </si>
  <si>
    <t>TEMP_LUT_TC4 [9:0]</t>
    <phoneticPr fontId="4" type="noConversion"/>
  </si>
  <si>
    <t>0010_0011_0001</t>
    <phoneticPr fontId="4" type="noConversion"/>
  </si>
  <si>
    <t>0x14</t>
    <phoneticPr fontId="4" type="noConversion"/>
  </si>
  <si>
    <t>TEMP_LUT_TC5</t>
  </si>
  <si>
    <t>TEMP_LUT_TC5 [9:0]</t>
    <phoneticPr fontId="4" type="noConversion"/>
  </si>
  <si>
    <t>0010_0100_1000</t>
    <phoneticPr fontId="4" type="noConversion"/>
  </si>
  <si>
    <t>0x15</t>
    <phoneticPr fontId="4" type="noConversion"/>
  </si>
  <si>
    <t>TEMP_LUT_TC6</t>
  </si>
  <si>
    <t>TEMP_LUT_TC6 [9:0]</t>
    <phoneticPr fontId="4" type="noConversion"/>
  </si>
  <si>
    <t>0010_0101_1111</t>
    <phoneticPr fontId="4" type="noConversion"/>
  </si>
  <si>
    <t>0x16</t>
    <phoneticPr fontId="4" type="noConversion"/>
  </si>
  <si>
    <t>TEMP_LUT_TC7</t>
  </si>
  <si>
    <t>TEMP_LUT_TC7 [9:0]</t>
    <phoneticPr fontId="4" type="noConversion"/>
  </si>
  <si>
    <t>0010_0111_0110</t>
    <phoneticPr fontId="4" type="noConversion"/>
  </si>
  <si>
    <t>0x17</t>
    <phoneticPr fontId="4" type="noConversion"/>
  </si>
  <si>
    <t>TEMP_LUT_TC8</t>
  </si>
  <si>
    <t>TEMP_LUT_TC8 [9:0]</t>
    <phoneticPr fontId="4" type="noConversion"/>
  </si>
  <si>
    <t>0010_1000_1101</t>
    <phoneticPr fontId="4" type="noConversion"/>
  </si>
  <si>
    <t>0x18</t>
    <phoneticPr fontId="4" type="noConversion"/>
  </si>
  <si>
    <t>TEMP_LUT_TC9</t>
  </si>
  <si>
    <t>TEMP_LUT_TC9 [9:0]</t>
    <phoneticPr fontId="4" type="noConversion"/>
  </si>
  <si>
    <t>0010_1010_0100</t>
    <phoneticPr fontId="4" type="noConversion"/>
  </si>
  <si>
    <t>0x19</t>
    <phoneticPr fontId="4" type="noConversion"/>
  </si>
  <si>
    <t>TEMP_LUT_TC10</t>
  </si>
  <si>
    <t>TEMP_LUT_TC10 [9:0]</t>
    <phoneticPr fontId="4" type="noConversion"/>
  </si>
  <si>
    <t>0010_1011_1011</t>
    <phoneticPr fontId="4" type="noConversion"/>
  </si>
  <si>
    <t>0x1A</t>
    <phoneticPr fontId="4" type="noConversion"/>
  </si>
  <si>
    <t>TIMEOUT</t>
    <phoneticPr fontId="4" type="noConversion"/>
  </si>
  <si>
    <t>TIMEOUT[11:0]</t>
    <phoneticPr fontId="4" type="noConversion"/>
  </si>
  <si>
    <t>1000_0000_0000</t>
    <phoneticPr fontId="4" type="noConversion"/>
  </si>
  <si>
    <t>D23</t>
  </si>
  <si>
    <t>D22</t>
  </si>
  <si>
    <t>D21</t>
  </si>
  <si>
    <t>D20</t>
  </si>
  <si>
    <t>D19</t>
  </si>
  <si>
    <t>D18</t>
  </si>
  <si>
    <t>D17</t>
  </si>
  <si>
    <t>D16</t>
  </si>
  <si>
    <t>D13</t>
    <phoneticPr fontId="4" type="noConversion"/>
  </si>
  <si>
    <t>D12</t>
    <phoneticPr fontId="4" type="noConversion"/>
  </si>
  <si>
    <t>D1</t>
    <phoneticPr fontId="4" type="noConversion"/>
  </si>
  <si>
    <t>D0</t>
    <phoneticPr fontId="4" type="noConversion"/>
  </si>
  <si>
    <t>0x08</t>
    <phoneticPr fontId="2" type="noConversion"/>
  </si>
  <si>
    <t>MCAST</t>
    <phoneticPr fontId="4" type="noConversion"/>
  </si>
  <si>
    <t>MCAST_ADDR[15:12]</t>
    <phoneticPr fontId="2" type="noConversion"/>
  </si>
  <si>
    <t>0x09</t>
    <phoneticPr fontId="2" type="noConversion"/>
  </si>
  <si>
    <t>MCAST_ADDR[11:0]</t>
    <phoneticPr fontId="2" type="noConversion"/>
  </si>
  <si>
    <t>0x20</t>
    <phoneticPr fontId="2" type="noConversion"/>
  </si>
  <si>
    <t>RGB</t>
    <phoneticPr fontId="4" type="noConversion"/>
  </si>
  <si>
    <t>R_DATA[7:0]</t>
    <phoneticPr fontId="2" type="noConversion"/>
  </si>
  <si>
    <t>G_DATA[7:4]</t>
    <phoneticPr fontId="2" type="noConversion"/>
  </si>
  <si>
    <t>0x21</t>
    <phoneticPr fontId="2" type="noConversion"/>
  </si>
  <si>
    <t>B_DATA[7:0]</t>
    <phoneticPr fontId="2" type="noConversion"/>
  </si>
  <si>
    <t xml:space="preserve">b. TEST_E을 '1', VEXT_MON_E을 '1', T_ANA_SEL[2:0]을 001로 Enable 시킴 </t>
    <phoneticPr fontId="2" type="noConversion"/>
  </si>
  <si>
    <t>d. 4V - 1V 조건에서 뺀 data값이 546을 만족 할때까지 ADC_GAIN[4:0] Trim을 진행</t>
    <phoneticPr fontId="2" type="noConversion"/>
  </si>
  <si>
    <t>8. ADC ( Gain )</t>
    <phoneticPr fontId="2" type="noConversion"/>
  </si>
  <si>
    <t>9. ADC ( Offset )</t>
    <phoneticPr fontId="2" type="noConversion"/>
  </si>
  <si>
    <t xml:space="preserve">b. TEST_E을 '1', VEXT_MON_E을 '0', T_ANA_SEL[2:0]을 000로 Enable 시킴 </t>
    <phoneticPr fontId="2" type="noConversion"/>
  </si>
  <si>
    <t>c. ADC_OFFSET[8:0]을 Trim하면서 Target값 511을 찾을때까지 진행</t>
    <phoneticPr fontId="2" type="noConversion"/>
  </si>
  <si>
    <t>10. DRIVER_A</t>
    <phoneticPr fontId="2" type="noConversion"/>
  </si>
  <si>
    <t>b. TEST_E을 '1' 로 Enable</t>
    <phoneticPr fontId="2" type="noConversion"/>
  </si>
  <si>
    <t>c. PWM_MAX_R 을 ENABLE시킴</t>
    <phoneticPr fontId="2" type="noConversion"/>
  </si>
  <si>
    <t>f. R을 완료하였다면, G,B를 순차적으로 진행</t>
    <phoneticPr fontId="2" type="noConversion"/>
  </si>
  <si>
    <t>10-1 Driver 보정</t>
    <phoneticPr fontId="2" type="noConversion"/>
  </si>
  <si>
    <t>10-2 PWM 보정</t>
    <phoneticPr fontId="2" type="noConversion"/>
  </si>
  <si>
    <t>a. PWM_MAX_R을 4095로 설정</t>
    <phoneticPr fontId="2" type="noConversion"/>
  </si>
  <si>
    <t>d. PWM_MAX_R 을 4095으로 설정</t>
    <phoneticPr fontId="2" type="noConversion"/>
  </si>
  <si>
    <t>b. PWM_MAX_R을 Trim을 하면서 Target 전류값이 나올때까지 진행</t>
    <phoneticPr fontId="2" type="noConversion"/>
  </si>
  <si>
    <t>c. R을 완료하였다면,  G,B를 순차적으로 진행</t>
    <phoneticPr fontId="2" type="noConversion"/>
  </si>
  <si>
    <t>10. DRIVER_B</t>
    <phoneticPr fontId="2" type="noConversion"/>
  </si>
  <si>
    <t>GAIN_G[3:0]</t>
    <phoneticPr fontId="2" type="noConversion"/>
  </si>
  <si>
    <t>GAIN_R[7:0]</t>
    <phoneticPr fontId="2" type="noConversion"/>
  </si>
  <si>
    <t>GAIN_B[7:0]</t>
    <phoneticPr fontId="2" type="noConversion"/>
  </si>
  <si>
    <t>GAIN_G[7:4]</t>
    <phoneticPr fontId="2" type="noConversion"/>
  </si>
  <si>
    <t xml:space="preserve">c. TEST_V Pin의 초기 전압값을 측정 후 온도에 따른 보상을 위해 V_TRIM_BGR[5:0]을 Trim하며 target 전압을 측정 -&gt; 상온에서는 Trim을 진행하지 않음 </t>
    <phoneticPr fontId="2" type="noConversion"/>
  </si>
  <si>
    <t>c. TEST_V Pin에 측정되는 초기 전압 상온 1.31V 측정. TEMP_TRIM_BGR[5:0]을 Target 전압값을 찾을때까지 Trim</t>
    <phoneticPr fontId="2" type="noConversion"/>
  </si>
  <si>
    <t>R = 측정전압/1.5mA expected ) 200ohm</t>
    <phoneticPr fontId="2" type="noConversion"/>
  </si>
  <si>
    <t>c. SIO1N, SIO1P, SIO2N, SIO2P Pin에 전류 1.5mA 인가 후 전압 값 측정</t>
    <phoneticPr fontId="2" type="noConversion"/>
  </si>
  <si>
    <t>c. TEST_V Pin에 1V와 4V를 인가했을때 VDEXT_TM[9:0] I2C Read 값 저장</t>
    <phoneticPr fontId="2" type="noConversion"/>
  </si>
  <si>
    <t>e. ITRIM_R을 Trim 진행하면서 Target 전류값(20mA)이 나올때까지 진행 *20mA IC의 RGB의 MAX Current</t>
    <phoneticPr fontId="2" type="noConversion"/>
  </si>
  <si>
    <t xml:space="preserve"> </t>
    <phoneticPr fontId="2" type="noConversion"/>
  </si>
  <si>
    <t>d. GAIN_R 값이 0.635mA가 나오때까지 Trim</t>
    <phoneticPr fontId="2" type="noConversion"/>
  </si>
  <si>
    <t>c. ITRIM_R가 0.3126mA가  나올때까지 Trim</t>
    <phoneticPr fontId="2" type="noConversion"/>
  </si>
  <si>
    <t>e. R 완료시 G,B를 순차적으로 반복</t>
    <phoneticPr fontId="2" type="noConversion"/>
  </si>
  <si>
    <t>수식 : 20mA * 64/4095</t>
    <phoneticPr fontId="2" type="noConversion"/>
  </si>
  <si>
    <t>20mA * 130/4095</t>
    <phoneticPr fontId="2" type="noConversion"/>
  </si>
  <si>
    <t>PAD 기준(TEST_V)</t>
    <phoneticPr fontId="2" type="noConversion"/>
  </si>
  <si>
    <t>d. Target값(1.31V)을 찾으면 R1과 R2을 1.2V Target으로 Trim (Swing Range 0.99~1.6V)</t>
    <phoneticPr fontId="2" type="noConversion"/>
  </si>
  <si>
    <t>b. T_ANA_SEL[2:0]을 101로 Enable시킴(Swing Range 0.681~2uA *sourcing)</t>
    <phoneticPr fontId="2" type="noConversion"/>
  </si>
  <si>
    <t>c. TEST_V Pin에 측정되는 초기 전압 측정후, VLDO_CTRL[2:0]을 Trim하며 Target 전압값 1.5V 을 찾을때까지 Trim (Swing Range 1.47~1.53V)</t>
    <phoneticPr fontId="2" type="noConversion"/>
  </si>
  <si>
    <t>c. SIO2N Pin에 측정되는 초기 주파수 측정후, OSC_CTL[7:0]을 Trim하며 Target 주파수값 1MHz(16MHz/16분주 )를 찾을때까지 Trim (Swing Range 550KHz~1.5MHz)</t>
    <phoneticPr fontId="2" type="noConversion"/>
  </si>
  <si>
    <t>c. 0V 혹은 1.2V 전압을 인가 후, SIO1N, SIO1P, SIO2N, SIO2P Pin의 Driver 전류를 Trim (Target 전류 1.5mA)  (Swing Range 0.8mA~2mA)</t>
    <phoneticPr fontId="2" type="noConversion"/>
  </si>
  <si>
    <t>d. 계산된 저항값을 기준으로  Trim진행. 200ohm 만족시 PASS Swing Range 140~270ohm)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</si>
</sst>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0"/>
      <name val="Arial"/>
      <family val="2"/>
    </font>
    <font>
      <sz val="8"/>
      <color theme="1"/>
      <name val="Arial"/>
      <family val="2"/>
    </font>
    <font>
      <sz val="9"/>
      <color theme="0"/>
      <name val="맑은 고딕"/>
      <family val="3"/>
      <charset val="129"/>
      <scheme val="minor"/>
    </font>
    <font>
      <sz val="9"/>
      <name val="Arial"/>
      <family val="2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6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6"/>
      <color rgb="FFFF0000"/>
      <name val="Arial"/>
      <family val="2"/>
    </font>
    <font>
      <sz val="6"/>
      <color rgb="FFFF0000"/>
      <name val="Arial"/>
      <family val="2"/>
    </font>
    <font>
      <sz val="11"/>
      <color rgb="FF000000"/>
      <name val="맑은 고딕"/>
      <family val="3"/>
      <charset val="129"/>
    </font>
    <font>
      <sz val="6"/>
      <color theme="1"/>
      <name val="맑은 고딕"/>
      <family val="3"/>
      <charset val="129"/>
      <scheme val="minor"/>
    </font>
    <font>
      <sz val="6"/>
      <color rgb="FF000000"/>
      <name val="맑은 고딕"/>
      <family val="3"/>
      <charset val="129"/>
    </font>
    <font>
      <sz val="6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4" borderId="1" xfId="0" quotePrefix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4" borderId="1" xfId="1" quotePrefix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4" borderId="5" xfId="1" quotePrefix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5" fillId="0" borderId="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13" xfId="0" applyFont="1" applyBorder="1" applyAlignment="1">
      <alignment horizontal="center" vertical="center" wrapText="1" readingOrder="1"/>
    </xf>
    <xf numFmtId="0" fontId="16" fillId="0" borderId="14" xfId="0" applyFont="1" applyBorder="1" applyAlignment="1">
      <alignment horizontal="center" vertical="center" wrapText="1" readingOrder="1"/>
    </xf>
    <xf numFmtId="0" fontId="16" fillId="0" borderId="15" xfId="0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 wrapText="1" readingOrder="1"/>
    </xf>
    <xf numFmtId="0" fontId="16" fillId="0" borderId="17" xfId="0" applyFont="1" applyBorder="1" applyAlignment="1">
      <alignment horizontal="center" vertical="center" wrapText="1" readingOrder="1"/>
    </xf>
    <xf numFmtId="0" fontId="16" fillId="0" borderId="18" xfId="0" applyFont="1" applyBorder="1" applyAlignment="1">
      <alignment horizontal="center" vertical="center" wrapText="1" readingOrder="1"/>
    </xf>
    <xf numFmtId="0" fontId="9" fillId="0" borderId="0" xfId="1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6" fillId="0" borderId="0" xfId="1" quotePrefix="1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4" borderId="1" xfId="0" quotePrefix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1" fillId="5" borderId="7" xfId="1" applyFont="1" applyFill="1" applyBorder="1" applyAlignment="1">
      <alignment horizontal="center" vertical="center" wrapText="1"/>
    </xf>
    <xf numFmtId="0" fontId="11" fillId="5" borderId="8" xfId="1" applyFont="1" applyFill="1" applyBorder="1" applyAlignment="1">
      <alignment horizontal="center" vertical="center" wrapText="1"/>
    </xf>
    <xf numFmtId="0" fontId="11" fillId="5" borderId="9" xfId="1" applyFont="1" applyFill="1" applyBorder="1" applyAlignment="1">
      <alignment horizontal="center" vertical="center" wrapText="1"/>
    </xf>
    <xf numFmtId="0" fontId="11" fillId="5" borderId="26" xfId="1" applyFont="1" applyFill="1" applyBorder="1" applyAlignment="1">
      <alignment horizontal="center" vertical="center" wrapText="1"/>
    </xf>
    <xf numFmtId="0" fontId="11" fillId="5" borderId="27" xfId="1" applyFont="1" applyFill="1" applyBorder="1" applyAlignment="1">
      <alignment horizontal="center" vertical="center" wrapText="1"/>
    </xf>
    <xf numFmtId="0" fontId="11" fillId="5" borderId="28" xfId="1" applyFont="1" applyFill="1" applyBorder="1" applyAlignment="1">
      <alignment horizontal="center" vertical="center" wrapText="1"/>
    </xf>
    <xf numFmtId="0" fontId="11" fillId="5" borderId="29" xfId="0" applyFont="1" applyFill="1" applyBorder="1" applyAlignment="1">
      <alignment horizontal="center" vertical="center" wrapText="1"/>
    </xf>
    <xf numFmtId="0" fontId="11" fillId="5" borderId="30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0" fillId="5" borderId="19" xfId="1" applyFont="1" applyFill="1" applyBorder="1" applyAlignment="1">
      <alignment horizontal="center" vertical="center" wrapText="1"/>
    </xf>
    <xf numFmtId="0" fontId="10" fillId="5" borderId="20" xfId="1" applyFont="1" applyFill="1" applyBorder="1" applyAlignment="1">
      <alignment horizontal="center" vertical="center" wrapText="1"/>
    </xf>
    <xf numFmtId="0" fontId="10" fillId="5" borderId="21" xfId="1" applyFont="1" applyFill="1" applyBorder="1" applyAlignment="1">
      <alignment horizontal="center" vertical="center" wrapText="1"/>
    </xf>
    <xf numFmtId="0" fontId="12" fillId="5" borderId="7" xfId="1" applyFont="1" applyFill="1" applyBorder="1" applyAlignment="1">
      <alignment horizontal="center" vertical="center" wrapText="1"/>
    </xf>
    <xf numFmtId="0" fontId="12" fillId="5" borderId="8" xfId="1" applyFont="1" applyFill="1" applyBorder="1" applyAlignment="1">
      <alignment horizontal="center" vertical="center" wrapText="1"/>
    </xf>
    <xf numFmtId="0" fontId="12" fillId="5" borderId="9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9" fillId="5" borderId="5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 wrapText="1"/>
    </xf>
    <xf numFmtId="0" fontId="17" fillId="5" borderId="1" xfId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3" fillId="5" borderId="7" xfId="1" applyFont="1" applyFill="1" applyBorder="1" applyAlignment="1">
      <alignment horizontal="center" vertical="center" wrapText="1"/>
    </xf>
    <xf numFmtId="0" fontId="13" fillId="5" borderId="8" xfId="1" applyFont="1" applyFill="1" applyBorder="1" applyAlignment="1">
      <alignment horizontal="center" vertical="center" wrapText="1"/>
    </xf>
    <xf numFmtId="0" fontId="13" fillId="5" borderId="22" xfId="1" applyFont="1" applyFill="1" applyBorder="1" applyAlignment="1">
      <alignment horizontal="center" vertical="center" wrapText="1"/>
    </xf>
    <xf numFmtId="0" fontId="13" fillId="5" borderId="9" xfId="1" applyFont="1" applyFill="1" applyBorder="1" applyAlignment="1">
      <alignment horizontal="center" vertical="center" wrapText="1"/>
    </xf>
    <xf numFmtId="0" fontId="17" fillId="5" borderId="5" xfId="1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 readingOrder="1"/>
    </xf>
    <xf numFmtId="0" fontId="14" fillId="0" borderId="11" xfId="0" applyFont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center" vertical="center" wrapText="1" readingOrder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</cellXfs>
  <cellStyles count="2">
    <cellStyle name="표준" xfId="0" builtinId="0"/>
    <cellStyle name="표준 2" xfId="1" xr:uid="{F767A0EA-D812-440F-9520-B1BDAF9CD885}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332154</xdr:colOff>
      <xdr:row>1</xdr:row>
      <xdr:rowOff>213818</xdr:rowOff>
    </xdr:from>
    <xdr:to>
      <xdr:col>19</xdr:col>
      <xdr:colOff>753550</xdr:colOff>
      <xdr:row>11</xdr:row>
      <xdr:rowOff>111631</xdr:rowOff>
    </xdr:to>
    <xdr:pic>
      <xdr:nvPicPr>
        <xdr:cNvPr id="2" name="그림 1" descr="텍스트, 스크린샷, 폰트, 번호이(가) 표시된 사진&#10;&#10;자동 생성된 설명">
          <a:extLst>
            <a:ext uri="{FF2B5EF4-FFF2-40B4-BE49-F238E27FC236}">
              <a16:creationId xmlns:a16="http://schemas.microsoft.com/office/drawing/2014/main" id="{446729EE-F8B1-116B-3D23-4A0F77800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7346" y="428741"/>
          <a:ext cx="4190610" cy="1258599"/>
        </a:xfrm>
        <a:prstGeom prst="rect">
          <a:avLst/>
        </a:prstGeom>
      </xdr:spPr>
    </xdr:pic>
    <xdr:clientData/>
  </xdr:twoCellAnchor>
  <xdr:twoCellAnchor editAs="oneCell">
    <xdr:from>
      <xdr:col>6</xdr:col>
      <xdr:colOff>149642</xdr:colOff>
      <xdr:row>131</xdr:row>
      <xdr:rowOff>50836</xdr:rowOff>
    </xdr:from>
    <xdr:to>
      <xdr:col>24</xdr:col>
      <xdr:colOff>170484</xdr:colOff>
      <xdr:row>132</xdr:row>
      <xdr:rowOff>12503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5E31101-32A1-3445-74D8-4341DFB58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911" y="27219067"/>
          <a:ext cx="10346919" cy="179765"/>
        </a:xfrm>
        <a:prstGeom prst="rect">
          <a:avLst/>
        </a:prstGeom>
      </xdr:spPr>
    </xdr:pic>
    <xdr:clientData/>
  </xdr:twoCellAnchor>
  <xdr:twoCellAnchor>
    <xdr:from>
      <xdr:col>6</xdr:col>
      <xdr:colOff>87923</xdr:colOff>
      <xdr:row>130</xdr:row>
      <xdr:rowOff>19538</xdr:rowOff>
    </xdr:from>
    <xdr:to>
      <xdr:col>11</xdr:col>
      <xdr:colOff>77763</xdr:colOff>
      <xdr:row>131</xdr:row>
      <xdr:rowOff>50836</xdr:rowOff>
    </xdr:to>
    <xdr:sp macro="" textlink="">
      <xdr:nvSpPr>
        <xdr:cNvPr id="4" name="TextBox 11">
          <a:extLst>
            <a:ext uri="{FF2B5EF4-FFF2-40B4-BE49-F238E27FC236}">
              <a16:creationId xmlns:a16="http://schemas.microsoft.com/office/drawing/2014/main" id="{B4052216-DB33-133F-DF11-90885CF70EF9}"/>
            </a:ext>
          </a:extLst>
        </xdr:cNvPr>
        <xdr:cNvSpPr txBox="1"/>
      </xdr:nvSpPr>
      <xdr:spPr>
        <a:xfrm>
          <a:off x="4606192" y="26972846"/>
          <a:ext cx="2236763" cy="2462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000"/>
            <a:t>AM </a:t>
          </a:r>
          <a:r>
            <a:rPr lang="ko-KR" altLang="en-US" sz="1000"/>
            <a:t>값 </a:t>
          </a:r>
          <a:r>
            <a:rPr lang="en-US" altLang="ko-KR" sz="1000"/>
            <a:t>= Register</a:t>
          </a:r>
          <a:endParaRPr lang="ko-KR" altLang="en-US" sz="10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23</xdr:row>
          <xdr:rowOff>0</xdr:rowOff>
        </xdr:from>
        <xdr:to>
          <xdr:col>10</xdr:col>
          <xdr:colOff>381000</xdr:colOff>
          <xdr:row>26</xdr:row>
          <xdr:rowOff>161925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1FECF8B-D7F4-F0C4-8F0C-CE65A2D6A5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3154-64C5-4945-901F-226DE028B101}">
  <dimension ref="B2:AA64"/>
  <sheetViews>
    <sheetView zoomScale="85" zoomScaleNormal="85" workbookViewId="0">
      <selection activeCell="J25" sqref="J25:U25"/>
    </sheetView>
  </sheetViews>
  <sheetFormatPr defaultRowHeight="17" x14ac:dyDescent="0.45"/>
  <sheetData>
    <row r="2" spans="2:23" x14ac:dyDescent="0.4">
      <c r="B2" s="3"/>
      <c r="C2" s="3"/>
      <c r="D2" s="4"/>
      <c r="E2" s="4"/>
      <c r="F2" s="77" t="s">
        <v>22</v>
      </c>
      <c r="G2" s="77"/>
      <c r="H2" s="77"/>
      <c r="I2" s="77"/>
      <c r="J2" s="4"/>
      <c r="K2" s="4"/>
      <c r="L2" s="4"/>
      <c r="M2" s="4"/>
      <c r="N2" s="3"/>
      <c r="O2" s="3"/>
      <c r="P2" s="3"/>
      <c r="Q2" s="3"/>
      <c r="R2" s="3"/>
      <c r="S2" s="3"/>
      <c r="T2" s="3"/>
      <c r="U2" s="3"/>
      <c r="V2" s="4"/>
      <c r="W2" s="4"/>
    </row>
    <row r="3" spans="2:23" ht="23" x14ac:dyDescent="0.45">
      <c r="B3" s="1" t="s">
        <v>0</v>
      </c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2" t="s">
        <v>20</v>
      </c>
      <c r="W3" s="2" t="s">
        <v>21</v>
      </c>
    </row>
    <row r="4" spans="2:23" x14ac:dyDescent="0.45">
      <c r="B4" s="5" t="s">
        <v>23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2:23" ht="23" x14ac:dyDescent="0.45">
      <c r="B5" s="7" t="s">
        <v>24</v>
      </c>
      <c r="C5" s="7" t="s">
        <v>25</v>
      </c>
      <c r="D5" s="7" t="s">
        <v>26</v>
      </c>
      <c r="E5" s="7" t="s">
        <v>27</v>
      </c>
      <c r="F5" s="8" t="s">
        <v>28</v>
      </c>
      <c r="G5" s="8" t="s">
        <v>28</v>
      </c>
      <c r="H5" s="8" t="s">
        <v>28</v>
      </c>
      <c r="I5" s="8" t="s">
        <v>28</v>
      </c>
      <c r="J5" s="9" t="s">
        <v>29</v>
      </c>
      <c r="K5" s="9" t="s">
        <v>30</v>
      </c>
      <c r="L5" s="9" t="s">
        <v>31</v>
      </c>
      <c r="M5" s="78" t="s">
        <v>32</v>
      </c>
      <c r="N5" s="79"/>
      <c r="O5" s="80"/>
      <c r="P5" s="78" t="s">
        <v>33</v>
      </c>
      <c r="Q5" s="79"/>
      <c r="R5" s="80"/>
      <c r="S5" s="9" t="s">
        <v>34</v>
      </c>
      <c r="T5" s="9" t="s">
        <v>35</v>
      </c>
      <c r="U5" s="9" t="s">
        <v>36</v>
      </c>
      <c r="V5" s="10" t="s">
        <v>37</v>
      </c>
      <c r="W5" s="7" t="str">
        <f>_xlfn.CONCAT("0x",BIN2HEX(MID(V5,1,4),1),BIN2HEX(MID(V5,6,4),1),BIN2HEX(MID(V5,11,4),1))</f>
        <v>0x000</v>
      </c>
    </row>
    <row r="6" spans="2:23" x14ac:dyDescent="0.45">
      <c r="B6" s="7" t="s">
        <v>38</v>
      </c>
      <c r="C6" s="7" t="s">
        <v>39</v>
      </c>
      <c r="D6" s="7" t="s">
        <v>26</v>
      </c>
      <c r="E6" s="7" t="s">
        <v>27</v>
      </c>
      <c r="F6" s="8" t="s">
        <v>28</v>
      </c>
      <c r="G6" s="8" t="s">
        <v>28</v>
      </c>
      <c r="H6" s="8" t="s">
        <v>28</v>
      </c>
      <c r="I6" s="8" t="s">
        <v>28</v>
      </c>
      <c r="J6" s="9" t="s">
        <v>40</v>
      </c>
      <c r="K6" s="9" t="s">
        <v>41</v>
      </c>
      <c r="L6" s="9" t="s">
        <v>42</v>
      </c>
      <c r="M6" s="9" t="s">
        <v>43</v>
      </c>
      <c r="N6" s="61" t="s">
        <v>336</v>
      </c>
      <c r="O6" s="61"/>
      <c r="P6" s="61"/>
      <c r="Q6" s="61"/>
      <c r="R6" s="61" t="s">
        <v>44</v>
      </c>
      <c r="S6" s="61"/>
      <c r="T6" s="61"/>
      <c r="U6" s="61"/>
      <c r="V6" s="10" t="s">
        <v>45</v>
      </c>
      <c r="W6" s="7" t="str">
        <f>_xlfn.CONCAT("0x",BIN2HEX(MID(V6,1,4),1),BIN2HEX(MID(V6,6,4),1),BIN2HEX(MID(V6,11,4),1))</f>
        <v>0x040</v>
      </c>
    </row>
    <row r="7" spans="2:23" x14ac:dyDescent="0.45">
      <c r="B7" s="7" t="s">
        <v>46</v>
      </c>
      <c r="C7" s="7" t="s">
        <v>47</v>
      </c>
      <c r="D7" s="7" t="s">
        <v>26</v>
      </c>
      <c r="E7" s="7" t="s">
        <v>27</v>
      </c>
      <c r="F7" s="8" t="s">
        <v>28</v>
      </c>
      <c r="G7" s="8" t="s">
        <v>28</v>
      </c>
      <c r="H7" s="8" t="s">
        <v>28</v>
      </c>
      <c r="I7" s="8" t="s">
        <v>28</v>
      </c>
      <c r="J7" s="61" t="s">
        <v>48</v>
      </c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10" t="s">
        <v>49</v>
      </c>
      <c r="W7" s="7" t="str">
        <f>_xlfn.CONCAT("0x",BIN2HEX(MID(V7,1,4),1),BIN2HEX(MID(V7,6,4),1),BIN2HEX(MID(V7,11,4),1))</f>
        <v>0x140</v>
      </c>
    </row>
    <row r="8" spans="2:23" x14ac:dyDescent="0.45">
      <c r="B8" s="7" t="s">
        <v>50</v>
      </c>
      <c r="C8" s="7" t="s">
        <v>51</v>
      </c>
      <c r="D8" s="7" t="s">
        <v>26</v>
      </c>
      <c r="E8" s="7" t="s">
        <v>27</v>
      </c>
      <c r="F8" s="8" t="s">
        <v>28</v>
      </c>
      <c r="G8" s="8" t="s">
        <v>28</v>
      </c>
      <c r="H8" s="8" t="s">
        <v>28</v>
      </c>
      <c r="I8" s="8" t="s">
        <v>28</v>
      </c>
      <c r="J8" s="61" t="s">
        <v>52</v>
      </c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10" t="s">
        <v>53</v>
      </c>
      <c r="W8" s="7" t="str">
        <f>_xlfn.CONCAT("0x",BIN2HEX(MID(V8,1,4),1),BIN2HEX(MID(V8,6,4),1),BIN2HEX(MID(V8,11,4),1))</f>
        <v>0x5A5</v>
      </c>
    </row>
    <row r="9" spans="2:23" x14ac:dyDescent="0.45">
      <c r="B9" s="5" t="s">
        <v>54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3" x14ac:dyDescent="0.45">
      <c r="B10" s="7" t="s">
        <v>55</v>
      </c>
      <c r="C10" s="11" t="s">
        <v>56</v>
      </c>
      <c r="D10" s="11" t="s">
        <v>26</v>
      </c>
      <c r="E10" s="11" t="s">
        <v>27</v>
      </c>
      <c r="F10" s="8" t="s">
        <v>28</v>
      </c>
      <c r="G10" s="8" t="s">
        <v>28</v>
      </c>
      <c r="H10" s="8" t="s">
        <v>28</v>
      </c>
      <c r="I10" s="8" t="s">
        <v>28</v>
      </c>
      <c r="J10" s="68" t="s">
        <v>57</v>
      </c>
      <c r="K10" s="68"/>
      <c r="L10" s="68"/>
      <c r="M10" s="68" t="s">
        <v>58</v>
      </c>
      <c r="N10" s="68"/>
      <c r="O10" s="68"/>
      <c r="P10" s="68" t="s">
        <v>59</v>
      </c>
      <c r="Q10" s="68"/>
      <c r="R10" s="68"/>
      <c r="S10" s="68"/>
      <c r="T10" s="68"/>
      <c r="U10" s="68"/>
      <c r="V10" s="12" t="s">
        <v>60</v>
      </c>
      <c r="W10" s="11" t="str">
        <f t="shared" ref="W10:W24" si="0">_xlfn.CONCAT("0x",BIN2HEX(MID(V10,1,4),1),BIN2HEX(MID(V10,6,4),1),BIN2HEX(MID(V10,11,4),1))</f>
        <v>0x020</v>
      </c>
    </row>
    <row r="11" spans="2:23" x14ac:dyDescent="0.45">
      <c r="B11" s="7" t="s">
        <v>61</v>
      </c>
      <c r="C11" s="11" t="s">
        <v>62</v>
      </c>
      <c r="D11" s="11" t="s">
        <v>26</v>
      </c>
      <c r="E11" s="11" t="s">
        <v>27</v>
      </c>
      <c r="F11" s="8" t="s">
        <v>28</v>
      </c>
      <c r="G11" s="8" t="s">
        <v>28</v>
      </c>
      <c r="H11" s="8" t="s">
        <v>28</v>
      </c>
      <c r="I11" s="8" t="s">
        <v>28</v>
      </c>
      <c r="J11" s="68" t="s">
        <v>63</v>
      </c>
      <c r="K11" s="68"/>
      <c r="L11" s="75" t="s">
        <v>64</v>
      </c>
      <c r="M11" s="76"/>
      <c r="N11" s="68" t="s">
        <v>65</v>
      </c>
      <c r="O11" s="68"/>
      <c r="P11" s="68"/>
      <c r="Q11" s="68" t="s">
        <v>66</v>
      </c>
      <c r="R11" s="68"/>
      <c r="S11" s="68"/>
      <c r="T11" s="68"/>
      <c r="U11" s="68"/>
      <c r="V11" s="12" t="s">
        <v>67</v>
      </c>
      <c r="W11" s="11" t="str">
        <f t="shared" si="0"/>
        <v>0x010</v>
      </c>
    </row>
    <row r="12" spans="2:23" x14ac:dyDescent="0.45">
      <c r="B12" s="7" t="s">
        <v>68</v>
      </c>
      <c r="C12" s="11" t="s">
        <v>69</v>
      </c>
      <c r="D12" s="11" t="s">
        <v>26</v>
      </c>
      <c r="E12" s="11" t="s">
        <v>27</v>
      </c>
      <c r="F12" s="8" t="s">
        <v>28</v>
      </c>
      <c r="G12" s="8" t="s">
        <v>28</v>
      </c>
      <c r="H12" s="8" t="s">
        <v>28</v>
      </c>
      <c r="I12" s="8" t="s">
        <v>28</v>
      </c>
      <c r="J12" s="13" t="s">
        <v>70</v>
      </c>
      <c r="K12" s="13" t="s">
        <v>70</v>
      </c>
      <c r="L12" s="72" t="s">
        <v>71</v>
      </c>
      <c r="M12" s="73"/>
      <c r="N12" s="73"/>
      <c r="O12" s="73"/>
      <c r="P12" s="73"/>
      <c r="Q12" s="74"/>
      <c r="R12" s="69" t="s">
        <v>72</v>
      </c>
      <c r="S12" s="70"/>
      <c r="T12" s="70"/>
      <c r="U12" s="71"/>
      <c r="V12" s="12" t="s">
        <v>73</v>
      </c>
      <c r="W12" s="11" t="str">
        <f t="shared" si="0"/>
        <v>0x208</v>
      </c>
    </row>
    <row r="13" spans="2:23" x14ac:dyDescent="0.45">
      <c r="B13" s="7" t="s">
        <v>74</v>
      </c>
      <c r="C13" s="11" t="s">
        <v>75</v>
      </c>
      <c r="D13" s="11" t="s">
        <v>26</v>
      </c>
      <c r="E13" s="11" t="s">
        <v>27</v>
      </c>
      <c r="F13" s="8" t="s">
        <v>28</v>
      </c>
      <c r="G13" s="8" t="s">
        <v>28</v>
      </c>
      <c r="H13" s="8" t="s">
        <v>28</v>
      </c>
      <c r="I13" s="8" t="s">
        <v>28</v>
      </c>
      <c r="J13" s="68" t="s">
        <v>76</v>
      </c>
      <c r="K13" s="68"/>
      <c r="L13" s="68"/>
      <c r="M13" s="68"/>
      <c r="N13" s="68"/>
      <c r="O13" s="68"/>
      <c r="P13" s="68"/>
      <c r="Q13" s="68"/>
      <c r="R13" s="69" t="s">
        <v>77</v>
      </c>
      <c r="S13" s="70"/>
      <c r="T13" s="70"/>
      <c r="U13" s="71"/>
      <c r="V13" s="12" t="s">
        <v>78</v>
      </c>
      <c r="W13" s="11" t="str">
        <f t="shared" si="0"/>
        <v>0x008</v>
      </c>
    </row>
    <row r="14" spans="2:23" x14ac:dyDescent="0.45">
      <c r="B14" s="7" t="s">
        <v>79</v>
      </c>
      <c r="C14" s="11" t="s">
        <v>80</v>
      </c>
      <c r="D14" s="11" t="s">
        <v>26</v>
      </c>
      <c r="E14" s="11" t="s">
        <v>27</v>
      </c>
      <c r="F14" s="8" t="s">
        <v>28</v>
      </c>
      <c r="G14" s="8" t="s">
        <v>28</v>
      </c>
      <c r="H14" s="8" t="s">
        <v>28</v>
      </c>
      <c r="I14" s="8" t="s">
        <v>28</v>
      </c>
      <c r="J14" s="14" t="s">
        <v>81</v>
      </c>
      <c r="K14" s="14" t="s">
        <v>81</v>
      </c>
      <c r="L14" s="14" t="s">
        <v>81</v>
      </c>
      <c r="M14" s="14" t="s">
        <v>81</v>
      </c>
      <c r="N14" s="14" t="s">
        <v>81</v>
      </c>
      <c r="O14" s="14" t="s">
        <v>81</v>
      </c>
      <c r="P14" s="14" t="s">
        <v>81</v>
      </c>
      <c r="Q14" s="14" t="s">
        <v>81</v>
      </c>
      <c r="R14" s="14" t="s">
        <v>81</v>
      </c>
      <c r="S14" s="14" t="s">
        <v>81</v>
      </c>
      <c r="T14" s="14" t="s">
        <v>81</v>
      </c>
      <c r="U14" s="14" t="s">
        <v>81</v>
      </c>
      <c r="V14" s="12" t="s">
        <v>82</v>
      </c>
      <c r="W14" s="11" t="str">
        <f t="shared" si="0"/>
        <v>0x000</v>
      </c>
    </row>
    <row r="15" spans="2:23" x14ac:dyDescent="0.45">
      <c r="B15" s="7" t="s">
        <v>83</v>
      </c>
      <c r="C15" s="11" t="s">
        <v>84</v>
      </c>
      <c r="D15" s="11" t="s">
        <v>26</v>
      </c>
      <c r="E15" s="11" t="s">
        <v>27</v>
      </c>
      <c r="F15" s="8" t="s">
        <v>28</v>
      </c>
      <c r="G15" s="8" t="s">
        <v>28</v>
      </c>
      <c r="H15" s="8" t="s">
        <v>28</v>
      </c>
      <c r="I15" s="8" t="s">
        <v>28</v>
      </c>
      <c r="J15" s="14" t="s">
        <v>81</v>
      </c>
      <c r="K15" s="14" t="s">
        <v>81</v>
      </c>
      <c r="L15" s="14" t="s">
        <v>81</v>
      </c>
      <c r="M15" s="14" t="s">
        <v>81</v>
      </c>
      <c r="N15" s="14" t="s">
        <v>81</v>
      </c>
      <c r="O15" s="14" t="s">
        <v>81</v>
      </c>
      <c r="P15" s="14" t="s">
        <v>81</v>
      </c>
      <c r="Q15" s="14" t="s">
        <v>81</v>
      </c>
      <c r="R15" s="14" t="s">
        <v>81</v>
      </c>
      <c r="S15" s="14" t="s">
        <v>81</v>
      </c>
      <c r="T15" s="14" t="s">
        <v>81</v>
      </c>
      <c r="U15" s="14" t="s">
        <v>81</v>
      </c>
      <c r="V15" s="12" t="s">
        <v>82</v>
      </c>
      <c r="W15" s="11" t="str">
        <f t="shared" si="0"/>
        <v>0x000</v>
      </c>
    </row>
    <row r="16" spans="2:23" x14ac:dyDescent="0.45">
      <c r="B16" s="7" t="s">
        <v>85</v>
      </c>
      <c r="C16" s="11" t="s">
        <v>86</v>
      </c>
      <c r="D16" s="11" t="s">
        <v>26</v>
      </c>
      <c r="E16" s="11" t="s">
        <v>27</v>
      </c>
      <c r="F16" s="8" t="s">
        <v>28</v>
      </c>
      <c r="G16" s="8" t="s">
        <v>28</v>
      </c>
      <c r="H16" s="8" t="s">
        <v>28</v>
      </c>
      <c r="I16" s="8" t="s">
        <v>28</v>
      </c>
      <c r="J16" s="13" t="s">
        <v>70</v>
      </c>
      <c r="K16" s="13" t="s">
        <v>70</v>
      </c>
      <c r="L16" s="13" t="s">
        <v>70</v>
      </c>
      <c r="M16" s="72" t="s">
        <v>87</v>
      </c>
      <c r="N16" s="73"/>
      <c r="O16" s="73"/>
      <c r="P16" s="73"/>
      <c r="Q16" s="73"/>
      <c r="R16" s="73"/>
      <c r="S16" s="73"/>
      <c r="T16" s="73"/>
      <c r="U16" s="74"/>
      <c r="V16" s="12" t="s">
        <v>82</v>
      </c>
      <c r="W16" s="11" t="str">
        <f t="shared" si="0"/>
        <v>0x000</v>
      </c>
    </row>
    <row r="17" spans="2:23" x14ac:dyDescent="0.45">
      <c r="B17" s="7" t="s">
        <v>88</v>
      </c>
      <c r="C17" s="11" t="s">
        <v>89</v>
      </c>
      <c r="D17" s="11" t="s">
        <v>26</v>
      </c>
      <c r="E17" s="11" t="s">
        <v>27</v>
      </c>
      <c r="F17" s="8" t="s">
        <v>28</v>
      </c>
      <c r="G17" s="8" t="s">
        <v>28</v>
      </c>
      <c r="H17" s="8" t="s">
        <v>28</v>
      </c>
      <c r="I17" s="8" t="s">
        <v>28</v>
      </c>
      <c r="J17" s="13" t="s">
        <v>70</v>
      </c>
      <c r="K17" s="13" t="s">
        <v>70</v>
      </c>
      <c r="L17" s="13" t="s">
        <v>70</v>
      </c>
      <c r="M17" s="13" t="s">
        <v>70</v>
      </c>
      <c r="N17" s="13" t="s">
        <v>70</v>
      </c>
      <c r="O17" s="13" t="s">
        <v>70</v>
      </c>
      <c r="P17" s="13" t="s">
        <v>70</v>
      </c>
      <c r="Q17" s="68" t="s">
        <v>90</v>
      </c>
      <c r="R17" s="68"/>
      <c r="S17" s="68"/>
      <c r="T17" s="68"/>
      <c r="U17" s="68"/>
      <c r="V17" s="12" t="s">
        <v>91</v>
      </c>
      <c r="W17" s="11" t="str">
        <f t="shared" si="0"/>
        <v>0x010</v>
      </c>
    </row>
    <row r="18" spans="2:23" x14ac:dyDescent="0.45">
      <c r="B18" s="7" t="s">
        <v>92</v>
      </c>
      <c r="C18" s="11" t="s">
        <v>93</v>
      </c>
      <c r="D18" s="11" t="s">
        <v>26</v>
      </c>
      <c r="E18" s="11" t="s">
        <v>27</v>
      </c>
      <c r="F18" s="8" t="s">
        <v>28</v>
      </c>
      <c r="G18" s="8" t="s">
        <v>28</v>
      </c>
      <c r="H18" s="8" t="s">
        <v>28</v>
      </c>
      <c r="I18" s="8" t="s">
        <v>28</v>
      </c>
      <c r="J18" s="13" t="s">
        <v>70</v>
      </c>
      <c r="K18" s="13" t="s">
        <v>70</v>
      </c>
      <c r="L18" s="13" t="s">
        <v>70</v>
      </c>
      <c r="M18" s="13" t="s">
        <v>70</v>
      </c>
      <c r="N18" s="68" t="s">
        <v>94</v>
      </c>
      <c r="O18" s="68"/>
      <c r="P18" s="68"/>
      <c r="Q18" s="68"/>
      <c r="R18" s="68"/>
      <c r="S18" s="68"/>
      <c r="T18" s="68"/>
      <c r="U18" s="68"/>
      <c r="V18" s="12" t="s">
        <v>95</v>
      </c>
      <c r="W18" s="11" t="str">
        <f t="shared" si="0"/>
        <v>0x080</v>
      </c>
    </row>
    <row r="19" spans="2:23" x14ac:dyDescent="0.45">
      <c r="B19" s="7" t="s">
        <v>96</v>
      </c>
      <c r="C19" s="11" t="s">
        <v>97</v>
      </c>
      <c r="D19" s="11" t="s">
        <v>26</v>
      </c>
      <c r="E19" s="11" t="s">
        <v>27</v>
      </c>
      <c r="F19" s="8" t="s">
        <v>28</v>
      </c>
      <c r="G19" s="8" t="s">
        <v>28</v>
      </c>
      <c r="H19" s="8" t="s">
        <v>28</v>
      </c>
      <c r="I19" s="8" t="s">
        <v>28</v>
      </c>
      <c r="J19" s="13" t="s">
        <v>70</v>
      </c>
      <c r="K19" s="13" t="s">
        <v>70</v>
      </c>
      <c r="L19" s="13" t="s">
        <v>70</v>
      </c>
      <c r="M19" s="13" t="s">
        <v>70</v>
      </c>
      <c r="N19" s="68" t="s">
        <v>98</v>
      </c>
      <c r="O19" s="68"/>
      <c r="P19" s="68"/>
      <c r="Q19" s="68"/>
      <c r="R19" s="68"/>
      <c r="S19" s="68"/>
      <c r="T19" s="68"/>
      <c r="U19" s="68"/>
      <c r="V19" s="12" t="s">
        <v>95</v>
      </c>
      <c r="W19" s="11" t="str">
        <f t="shared" si="0"/>
        <v>0x080</v>
      </c>
    </row>
    <row r="20" spans="2:23" x14ac:dyDescent="0.45">
      <c r="B20" s="7" t="s">
        <v>99</v>
      </c>
      <c r="C20" s="11" t="s">
        <v>100</v>
      </c>
      <c r="D20" s="11" t="s">
        <v>26</v>
      </c>
      <c r="E20" s="11" t="s">
        <v>27</v>
      </c>
      <c r="F20" s="8" t="s">
        <v>28</v>
      </c>
      <c r="G20" s="8" t="s">
        <v>28</v>
      </c>
      <c r="H20" s="8" t="s">
        <v>28</v>
      </c>
      <c r="I20" s="8" t="s">
        <v>28</v>
      </c>
      <c r="J20" s="13" t="s">
        <v>70</v>
      </c>
      <c r="K20" s="13" t="s">
        <v>70</v>
      </c>
      <c r="L20" s="13" t="s">
        <v>70</v>
      </c>
      <c r="M20" s="13" t="s">
        <v>70</v>
      </c>
      <c r="N20" s="68" t="s">
        <v>101</v>
      </c>
      <c r="O20" s="68"/>
      <c r="P20" s="68"/>
      <c r="Q20" s="68"/>
      <c r="R20" s="68"/>
      <c r="S20" s="68"/>
      <c r="T20" s="68"/>
      <c r="U20" s="68"/>
      <c r="V20" s="12" t="s">
        <v>95</v>
      </c>
      <c r="W20" s="11" t="str">
        <f t="shared" si="0"/>
        <v>0x080</v>
      </c>
    </row>
    <row r="21" spans="2:23" x14ac:dyDescent="0.45">
      <c r="B21" s="7" t="s">
        <v>102</v>
      </c>
      <c r="C21" s="11" t="s">
        <v>103</v>
      </c>
      <c r="D21" s="11" t="s">
        <v>26</v>
      </c>
      <c r="E21" s="11" t="s">
        <v>27</v>
      </c>
      <c r="F21" s="8" t="s">
        <v>28</v>
      </c>
      <c r="G21" s="8" t="s">
        <v>28</v>
      </c>
      <c r="H21" s="8" t="s">
        <v>28</v>
      </c>
      <c r="I21" s="8" t="s">
        <v>28</v>
      </c>
      <c r="J21" s="13" t="s">
        <v>70</v>
      </c>
      <c r="K21" s="13" t="s">
        <v>70</v>
      </c>
      <c r="L21" s="68" t="s">
        <v>104</v>
      </c>
      <c r="M21" s="68"/>
      <c r="N21" s="68"/>
      <c r="O21" s="68"/>
      <c r="P21" s="68"/>
      <c r="Q21" s="68"/>
      <c r="R21" s="68"/>
      <c r="S21" s="68"/>
      <c r="T21" s="68"/>
      <c r="U21" s="68"/>
      <c r="V21" s="12" t="s">
        <v>105</v>
      </c>
      <c r="W21" s="11" t="str">
        <f t="shared" si="0"/>
        <v>0x000</v>
      </c>
    </row>
    <row r="22" spans="2:23" x14ac:dyDescent="0.45">
      <c r="B22" s="7" t="s">
        <v>106</v>
      </c>
      <c r="C22" s="11" t="s">
        <v>107</v>
      </c>
      <c r="D22" s="11" t="s">
        <v>26</v>
      </c>
      <c r="E22" s="11" t="s">
        <v>27</v>
      </c>
      <c r="F22" s="8" t="s">
        <v>28</v>
      </c>
      <c r="G22" s="8" t="s">
        <v>28</v>
      </c>
      <c r="H22" s="8" t="s">
        <v>28</v>
      </c>
      <c r="I22" s="8" t="s">
        <v>28</v>
      </c>
      <c r="J22" s="13" t="s">
        <v>70</v>
      </c>
      <c r="K22" s="13" t="s">
        <v>70</v>
      </c>
      <c r="L22" s="68" t="s">
        <v>108</v>
      </c>
      <c r="M22" s="68"/>
      <c r="N22" s="68"/>
      <c r="O22" s="68"/>
      <c r="P22" s="68"/>
      <c r="Q22" s="68"/>
      <c r="R22" s="68"/>
      <c r="S22" s="68"/>
      <c r="T22" s="68"/>
      <c r="U22" s="68"/>
      <c r="V22" s="12" t="s">
        <v>109</v>
      </c>
      <c r="W22" s="11" t="str">
        <f t="shared" si="0"/>
        <v>0x000</v>
      </c>
    </row>
    <row r="23" spans="2:23" x14ac:dyDescent="0.45">
      <c r="B23" s="5" t="s">
        <v>110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3" x14ac:dyDescent="0.45">
      <c r="B24" s="7" t="s">
        <v>111</v>
      </c>
      <c r="C24" s="11" t="s">
        <v>112</v>
      </c>
      <c r="D24" s="11" t="s">
        <v>26</v>
      </c>
      <c r="E24" s="11" t="s">
        <v>27</v>
      </c>
      <c r="F24" s="8" t="s">
        <v>28</v>
      </c>
      <c r="G24" s="8" t="s">
        <v>28</v>
      </c>
      <c r="H24" s="8" t="s">
        <v>28</v>
      </c>
      <c r="I24" s="8" t="s">
        <v>28</v>
      </c>
      <c r="J24" s="68" t="s">
        <v>113</v>
      </c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12" t="s">
        <v>105</v>
      </c>
      <c r="W24" s="11" t="str">
        <f t="shared" si="0"/>
        <v>0x000</v>
      </c>
    </row>
    <row r="25" spans="2:23" x14ac:dyDescent="0.45">
      <c r="B25" s="7" t="s">
        <v>114</v>
      </c>
      <c r="C25" s="11" t="s">
        <v>115</v>
      </c>
      <c r="D25" s="11" t="s">
        <v>26</v>
      </c>
      <c r="E25" s="11" t="s">
        <v>27</v>
      </c>
      <c r="F25" s="8" t="s">
        <v>28</v>
      </c>
      <c r="G25" s="8" t="s">
        <v>28</v>
      </c>
      <c r="H25" s="8" t="s">
        <v>28</v>
      </c>
      <c r="I25" s="8" t="s">
        <v>28</v>
      </c>
      <c r="J25" s="68" t="s">
        <v>116</v>
      </c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12" t="s">
        <v>105</v>
      </c>
      <c r="W25" s="11" t="str">
        <f>_xlfn.CONCAT("0x",BIN2HEX(MID(V25,1,4),1),BIN2HEX(MID(V25,6,4),1),BIN2HEX(MID(V25,11,4),1))</f>
        <v>0x000</v>
      </c>
    </row>
    <row r="26" spans="2:23" x14ac:dyDescent="0.45">
      <c r="B26" s="7" t="s">
        <v>117</v>
      </c>
      <c r="C26" s="11" t="s">
        <v>118</v>
      </c>
      <c r="D26" s="11" t="s">
        <v>26</v>
      </c>
      <c r="E26" s="11" t="s">
        <v>27</v>
      </c>
      <c r="F26" s="8" t="s">
        <v>28</v>
      </c>
      <c r="G26" s="8" t="s">
        <v>28</v>
      </c>
      <c r="H26" s="8" t="s">
        <v>28</v>
      </c>
      <c r="I26" s="8" t="s">
        <v>28</v>
      </c>
      <c r="J26" s="68" t="s">
        <v>119</v>
      </c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12" t="s">
        <v>109</v>
      </c>
      <c r="W26" s="11" t="str">
        <f>_xlfn.CONCAT("0x",BIN2HEX(MID(V26,1,4),1),BIN2HEX(MID(V26,6,4),1),BIN2HEX(MID(V26,11,4),1))</f>
        <v>0x000</v>
      </c>
    </row>
    <row r="27" spans="2:23" x14ac:dyDescent="0.45">
      <c r="B27" s="7" t="s">
        <v>120</v>
      </c>
      <c r="C27" s="11" t="s">
        <v>121</v>
      </c>
      <c r="D27" s="11" t="s">
        <v>26</v>
      </c>
      <c r="E27" s="11" t="s">
        <v>27</v>
      </c>
      <c r="F27" s="8" t="s">
        <v>28</v>
      </c>
      <c r="G27" s="8" t="s">
        <v>28</v>
      </c>
      <c r="H27" s="8" t="s">
        <v>28</v>
      </c>
      <c r="I27" s="8" t="s">
        <v>28</v>
      </c>
      <c r="J27" s="14" t="s">
        <v>81</v>
      </c>
      <c r="K27" s="14" t="s">
        <v>81</v>
      </c>
      <c r="L27" s="14" t="s">
        <v>81</v>
      </c>
      <c r="M27" s="14" t="s">
        <v>81</v>
      </c>
      <c r="N27" s="68" t="s">
        <v>122</v>
      </c>
      <c r="O27" s="68"/>
      <c r="P27" s="68"/>
      <c r="Q27" s="68"/>
      <c r="R27" s="68"/>
      <c r="S27" s="68"/>
      <c r="T27" s="68"/>
      <c r="U27" s="68"/>
      <c r="V27" s="12" t="s">
        <v>109</v>
      </c>
      <c r="W27" s="11" t="str">
        <f>_xlfn.CONCAT("0x",BIN2HEX(MID(V27,1,4),1),BIN2HEX(MID(V27,6,4),1),BIN2HEX(MID(V27,11,4),1))</f>
        <v>0x000</v>
      </c>
    </row>
    <row r="28" spans="2:23" x14ac:dyDescent="0.45">
      <c r="B28" s="7" t="s">
        <v>123</v>
      </c>
      <c r="C28" s="11" t="s">
        <v>124</v>
      </c>
      <c r="D28" s="11" t="s">
        <v>26</v>
      </c>
      <c r="E28" s="11" t="s">
        <v>27</v>
      </c>
      <c r="F28" s="8" t="s">
        <v>28</v>
      </c>
      <c r="G28" s="8" t="s">
        <v>28</v>
      </c>
      <c r="H28" s="8" t="s">
        <v>28</v>
      </c>
      <c r="I28" s="8" t="s">
        <v>28</v>
      </c>
      <c r="J28" s="14" t="s">
        <v>81</v>
      </c>
      <c r="K28" s="14" t="s">
        <v>81</v>
      </c>
      <c r="L28" s="14" t="s">
        <v>81</v>
      </c>
      <c r="M28" s="14" t="s">
        <v>81</v>
      </c>
      <c r="N28" s="14" t="s">
        <v>81</v>
      </c>
      <c r="O28" s="14" t="s">
        <v>81</v>
      </c>
      <c r="P28" s="14" t="s">
        <v>81</v>
      </c>
      <c r="Q28" s="14" t="s">
        <v>81</v>
      </c>
      <c r="R28" s="14" t="s">
        <v>81</v>
      </c>
      <c r="S28" s="14" t="s">
        <v>81</v>
      </c>
      <c r="T28" s="14" t="s">
        <v>81</v>
      </c>
      <c r="U28" s="14" t="s">
        <v>81</v>
      </c>
      <c r="V28" s="12" t="s">
        <v>109</v>
      </c>
      <c r="W28" s="11" t="str">
        <f>_xlfn.CONCAT("0x",BIN2HEX(MID(V28,1,4),1),BIN2HEX(MID(V28,6,4),1),BIN2HEX(MID(V28,11,4),1))</f>
        <v>0x000</v>
      </c>
    </row>
    <row r="29" spans="2:23" x14ac:dyDescent="0.45">
      <c r="B29" s="7" t="s">
        <v>125</v>
      </c>
      <c r="C29" s="11" t="s">
        <v>126</v>
      </c>
      <c r="D29" s="11" t="s">
        <v>26</v>
      </c>
      <c r="E29" s="11" t="s">
        <v>27</v>
      </c>
      <c r="F29" s="8" t="s">
        <v>28</v>
      </c>
      <c r="G29" s="8" t="s">
        <v>28</v>
      </c>
      <c r="H29" s="8" t="s">
        <v>28</v>
      </c>
      <c r="I29" s="8" t="s">
        <v>28</v>
      </c>
      <c r="J29" s="13" t="s">
        <v>70</v>
      </c>
      <c r="K29" s="13" t="s">
        <v>70</v>
      </c>
      <c r="L29" s="13" t="s">
        <v>70</v>
      </c>
      <c r="M29" s="13" t="s">
        <v>70</v>
      </c>
      <c r="N29" s="13" t="s">
        <v>70</v>
      </c>
      <c r="O29" s="13" t="s">
        <v>70</v>
      </c>
      <c r="P29" s="13" t="s">
        <v>70</v>
      </c>
      <c r="Q29" s="13" t="s">
        <v>70</v>
      </c>
      <c r="R29" s="14" t="s">
        <v>81</v>
      </c>
      <c r="S29" s="14" t="s">
        <v>81</v>
      </c>
      <c r="T29" s="14" t="s">
        <v>81</v>
      </c>
      <c r="U29" s="14" t="s">
        <v>81</v>
      </c>
      <c r="V29" s="12" t="s">
        <v>109</v>
      </c>
      <c r="W29" s="11" t="str">
        <f>_xlfn.CONCAT("0x",BIN2HEX(MID(V29,1,4),1),BIN2HEX(MID(V29,6,4),1),BIN2HEX(MID(V29,11,4),1))</f>
        <v>0x000</v>
      </c>
    </row>
    <row r="33" spans="2:27" s="6" customFormat="1" ht="23" x14ac:dyDescent="0.45">
      <c r="B33" s="46" t="s">
        <v>0</v>
      </c>
      <c r="C33" s="46" t="s">
        <v>1</v>
      </c>
      <c r="D33" s="47" t="s">
        <v>2</v>
      </c>
      <c r="E33" s="47" t="s">
        <v>3</v>
      </c>
      <c r="F33" s="47" t="s">
        <v>4</v>
      </c>
      <c r="G33" s="47" t="s">
        <v>5</v>
      </c>
      <c r="H33" s="47" t="s">
        <v>6</v>
      </c>
      <c r="I33" s="47" t="s">
        <v>7</v>
      </c>
      <c r="J33" s="47" t="s">
        <v>8</v>
      </c>
      <c r="K33" s="47" t="s">
        <v>9</v>
      </c>
      <c r="L33" s="47" t="s">
        <v>10</v>
      </c>
      <c r="M33" s="47" t="s">
        <v>11</v>
      </c>
      <c r="N33" s="46" t="s">
        <v>12</v>
      </c>
      <c r="O33" s="46" t="s">
        <v>13</v>
      </c>
      <c r="P33" s="46" t="s">
        <v>14</v>
      </c>
      <c r="Q33" s="46" t="s">
        <v>15</v>
      </c>
      <c r="R33" s="46" t="s">
        <v>16</v>
      </c>
      <c r="S33" s="46" t="s">
        <v>17</v>
      </c>
      <c r="T33" s="46" t="s">
        <v>18</v>
      </c>
      <c r="U33" s="46" t="s">
        <v>19</v>
      </c>
      <c r="V33" s="62" t="s">
        <v>165</v>
      </c>
      <c r="W33" s="63"/>
      <c r="X33" s="63"/>
      <c r="Y33" s="64"/>
      <c r="Z33" s="47" t="s">
        <v>20</v>
      </c>
      <c r="AA33" s="47" t="s">
        <v>21</v>
      </c>
    </row>
    <row r="34" spans="2:27" s="6" customFormat="1" ht="14.5" x14ac:dyDescent="0.4">
      <c r="B34" s="46"/>
      <c r="C34" s="46"/>
      <c r="D34" s="47"/>
      <c r="E34" s="47"/>
      <c r="F34" s="66" t="s">
        <v>22</v>
      </c>
      <c r="G34" s="66"/>
      <c r="H34" s="66"/>
      <c r="I34" s="66"/>
      <c r="J34" s="47" t="s">
        <v>166</v>
      </c>
      <c r="K34" s="47" t="s">
        <v>167</v>
      </c>
      <c r="L34" s="47" t="s">
        <v>6</v>
      </c>
      <c r="M34" s="47" t="s">
        <v>7</v>
      </c>
      <c r="N34" s="47" t="s">
        <v>168</v>
      </c>
      <c r="O34" s="47" t="s">
        <v>169</v>
      </c>
      <c r="P34" s="47" t="s">
        <v>170</v>
      </c>
      <c r="Q34" s="47" t="s">
        <v>171</v>
      </c>
      <c r="R34" s="47" t="s">
        <v>172</v>
      </c>
      <c r="S34" s="47" t="s">
        <v>173</v>
      </c>
      <c r="T34" s="47" t="s">
        <v>14</v>
      </c>
      <c r="U34" s="47" t="s">
        <v>15</v>
      </c>
      <c r="V34" s="47" t="s">
        <v>16</v>
      </c>
      <c r="W34" s="47" t="s">
        <v>17</v>
      </c>
      <c r="X34" s="47" t="s">
        <v>18</v>
      </c>
      <c r="Y34" s="47" t="s">
        <v>19</v>
      </c>
      <c r="Z34" s="47"/>
      <c r="AA34" s="47"/>
    </row>
    <row r="35" spans="2:27" s="6" customFormat="1" ht="17" customHeight="1" x14ac:dyDescent="0.45">
      <c r="B35" s="7" t="s">
        <v>174</v>
      </c>
      <c r="C35" s="7" t="s">
        <v>175</v>
      </c>
      <c r="D35" s="7" t="s">
        <v>176</v>
      </c>
      <c r="E35" s="48" t="s">
        <v>177</v>
      </c>
      <c r="F35" s="8" t="s">
        <v>28</v>
      </c>
      <c r="G35" s="8" t="s">
        <v>28</v>
      </c>
      <c r="H35" s="8" t="s">
        <v>28</v>
      </c>
      <c r="I35" s="8" t="s">
        <v>28</v>
      </c>
      <c r="J35" s="13" t="s">
        <v>81</v>
      </c>
      <c r="K35" s="13" t="s">
        <v>81</v>
      </c>
      <c r="L35" s="13" t="s">
        <v>81</v>
      </c>
      <c r="M35" s="13" t="s">
        <v>81</v>
      </c>
      <c r="N35" s="13" t="s">
        <v>81</v>
      </c>
      <c r="O35" s="61" t="s">
        <v>178</v>
      </c>
      <c r="P35" s="61"/>
      <c r="Q35" s="61"/>
      <c r="R35" s="61" t="s">
        <v>179</v>
      </c>
      <c r="S35" s="61"/>
      <c r="T35" s="61" t="s">
        <v>180</v>
      </c>
      <c r="U35" s="61"/>
      <c r="V35" s="8">
        <v>0</v>
      </c>
      <c r="W35" s="8">
        <v>0</v>
      </c>
      <c r="X35" s="8">
        <v>0</v>
      </c>
      <c r="Y35" s="8">
        <v>0</v>
      </c>
      <c r="Z35" s="10" t="s">
        <v>37</v>
      </c>
      <c r="AA35" s="7" t="str">
        <f>_xlfn.CONCAT("0x",BIN2HEX(MID(Z35,1,4),1),BIN2HEX(MID(Z35,6,4),1),BIN2HEX(MID(Z35,11,4),1))</f>
        <v>0x000</v>
      </c>
    </row>
    <row r="36" spans="2:27" s="6" customFormat="1" ht="17" customHeight="1" x14ac:dyDescent="0.45">
      <c r="B36" s="49" t="s">
        <v>181</v>
      </c>
      <c r="C36" s="7" t="s">
        <v>182</v>
      </c>
      <c r="D36" s="7" t="s">
        <v>176</v>
      </c>
      <c r="E36" s="48" t="s">
        <v>183</v>
      </c>
      <c r="F36" s="8" t="s">
        <v>28</v>
      </c>
      <c r="G36" s="8" t="s">
        <v>28</v>
      </c>
      <c r="H36" s="8" t="s">
        <v>28</v>
      </c>
      <c r="I36" s="8" t="s">
        <v>28</v>
      </c>
      <c r="J36" s="9" t="s">
        <v>184</v>
      </c>
      <c r="K36" s="9" t="s">
        <v>185</v>
      </c>
      <c r="L36" s="9" t="s">
        <v>186</v>
      </c>
      <c r="M36" s="9" t="s">
        <v>187</v>
      </c>
      <c r="N36" s="9" t="s">
        <v>188</v>
      </c>
      <c r="O36" s="9" t="s">
        <v>189</v>
      </c>
      <c r="P36" s="9" t="s">
        <v>190</v>
      </c>
      <c r="Q36" s="9" t="s">
        <v>191</v>
      </c>
      <c r="R36" s="9" t="s">
        <v>192</v>
      </c>
      <c r="S36" s="9" t="s">
        <v>193</v>
      </c>
      <c r="T36" s="9" t="s">
        <v>194</v>
      </c>
      <c r="U36" s="9" t="s">
        <v>195</v>
      </c>
      <c r="V36" s="8">
        <v>0</v>
      </c>
      <c r="W36" s="8">
        <v>0</v>
      </c>
      <c r="X36" s="8">
        <v>0</v>
      </c>
      <c r="Y36" s="8">
        <v>0</v>
      </c>
      <c r="Z36" s="10" t="s">
        <v>37</v>
      </c>
      <c r="AA36" s="7" t="str">
        <f t="shared" ref="AA36:AA45" si="1">_xlfn.CONCAT("0x",BIN2HEX(MID(Z36,1,4),1),BIN2HEX(MID(Z36,6,4),1),BIN2HEX(MID(Z36,11,4),1))</f>
        <v>0x000</v>
      </c>
    </row>
    <row r="37" spans="2:27" s="6" customFormat="1" ht="17" customHeight="1" x14ac:dyDescent="0.45">
      <c r="B37" s="7" t="s">
        <v>196</v>
      </c>
      <c r="C37" s="7" t="s">
        <v>197</v>
      </c>
      <c r="D37" s="7" t="s">
        <v>176</v>
      </c>
      <c r="E37" s="48" t="s">
        <v>177</v>
      </c>
      <c r="F37" s="8" t="s">
        <v>28</v>
      </c>
      <c r="G37" s="8" t="s">
        <v>28</v>
      </c>
      <c r="H37" s="8" t="s">
        <v>28</v>
      </c>
      <c r="I37" s="8" t="s">
        <v>28</v>
      </c>
      <c r="J37" s="13" t="s">
        <v>81</v>
      </c>
      <c r="K37" s="13" t="s">
        <v>81</v>
      </c>
      <c r="L37" s="61" t="s">
        <v>198</v>
      </c>
      <c r="M37" s="61"/>
      <c r="N37" s="61"/>
      <c r="O37" s="61"/>
      <c r="P37" s="61"/>
      <c r="Q37" s="61"/>
      <c r="R37" s="61"/>
      <c r="S37" s="61"/>
      <c r="T37" s="61"/>
      <c r="U37" s="61"/>
      <c r="V37" s="8">
        <v>0</v>
      </c>
      <c r="W37" s="8">
        <v>0</v>
      </c>
      <c r="X37" s="8">
        <v>0</v>
      </c>
      <c r="Y37" s="8">
        <v>0</v>
      </c>
      <c r="Z37" s="10" t="s">
        <v>37</v>
      </c>
      <c r="AA37" s="7" t="str">
        <f t="shared" si="1"/>
        <v>0x000</v>
      </c>
    </row>
    <row r="38" spans="2:27" s="6" customFormat="1" ht="17" customHeight="1" x14ac:dyDescent="0.45">
      <c r="B38" s="7" t="s">
        <v>199</v>
      </c>
      <c r="C38" s="7" t="s">
        <v>200</v>
      </c>
      <c r="D38" s="7" t="s">
        <v>176</v>
      </c>
      <c r="E38" s="48" t="s">
        <v>177</v>
      </c>
      <c r="F38" s="8" t="s">
        <v>28</v>
      </c>
      <c r="G38" s="8" t="s">
        <v>28</v>
      </c>
      <c r="H38" s="8" t="s">
        <v>28</v>
      </c>
      <c r="I38" s="8" t="s">
        <v>28</v>
      </c>
      <c r="J38" s="13" t="s">
        <v>81</v>
      </c>
      <c r="K38" s="13" t="s">
        <v>81</v>
      </c>
      <c r="L38" s="61" t="s">
        <v>201</v>
      </c>
      <c r="M38" s="61"/>
      <c r="N38" s="61"/>
      <c r="O38" s="61"/>
      <c r="P38" s="61"/>
      <c r="Q38" s="61"/>
      <c r="R38" s="61"/>
      <c r="S38" s="61"/>
      <c r="T38" s="61"/>
      <c r="U38" s="61"/>
      <c r="V38" s="8">
        <v>0</v>
      </c>
      <c r="W38" s="8">
        <v>0</v>
      </c>
      <c r="X38" s="8">
        <v>0</v>
      </c>
      <c r="Y38" s="8">
        <v>0</v>
      </c>
      <c r="Z38" s="10" t="s">
        <v>37</v>
      </c>
      <c r="AA38" s="7" t="str">
        <f t="shared" si="1"/>
        <v>0x000</v>
      </c>
    </row>
    <row r="39" spans="2:27" s="6" customFormat="1" ht="17" customHeight="1" x14ac:dyDescent="0.45">
      <c r="B39" s="49" t="s">
        <v>202</v>
      </c>
      <c r="C39" s="7" t="s">
        <v>203</v>
      </c>
      <c r="D39" s="7" t="s">
        <v>176</v>
      </c>
      <c r="E39" s="7" t="s">
        <v>204</v>
      </c>
      <c r="F39" s="8" t="s">
        <v>28</v>
      </c>
      <c r="G39" s="8" t="s">
        <v>28</v>
      </c>
      <c r="H39" s="8" t="s">
        <v>28</v>
      </c>
      <c r="I39" s="8" t="s">
        <v>28</v>
      </c>
      <c r="J39" s="9" t="s">
        <v>205</v>
      </c>
      <c r="K39" s="9" t="s">
        <v>206</v>
      </c>
      <c r="L39" s="9" t="s">
        <v>207</v>
      </c>
      <c r="M39" s="9" t="s">
        <v>208</v>
      </c>
      <c r="N39" s="9" t="s">
        <v>209</v>
      </c>
      <c r="O39" s="9" t="s">
        <v>210</v>
      </c>
      <c r="P39" s="9" t="s">
        <v>211</v>
      </c>
      <c r="Q39" s="9" t="s">
        <v>212</v>
      </c>
      <c r="R39" s="61" t="s">
        <v>213</v>
      </c>
      <c r="S39" s="61"/>
      <c r="T39" s="61"/>
      <c r="U39" s="61"/>
      <c r="V39" s="8">
        <v>0</v>
      </c>
      <c r="W39" s="8">
        <v>0</v>
      </c>
      <c r="X39" s="8">
        <v>0</v>
      </c>
      <c r="Y39" s="8">
        <v>0</v>
      </c>
      <c r="Z39" s="10" t="s">
        <v>37</v>
      </c>
      <c r="AA39" s="7" t="str">
        <f t="shared" si="1"/>
        <v>0x000</v>
      </c>
    </row>
    <row r="40" spans="2:27" s="6" customFormat="1" ht="17" customHeight="1" x14ac:dyDescent="0.45">
      <c r="B40" s="7" t="s">
        <v>214</v>
      </c>
      <c r="C40" s="7" t="s">
        <v>215</v>
      </c>
      <c r="D40" s="7" t="s">
        <v>176</v>
      </c>
      <c r="E40" s="7" t="s">
        <v>204</v>
      </c>
      <c r="F40" s="8" t="s">
        <v>28</v>
      </c>
      <c r="G40" s="8" t="s">
        <v>28</v>
      </c>
      <c r="H40" s="8" t="s">
        <v>28</v>
      </c>
      <c r="I40" s="8" t="s">
        <v>28</v>
      </c>
      <c r="J40" s="13" t="s">
        <v>81</v>
      </c>
      <c r="K40" s="13" t="s">
        <v>81</v>
      </c>
      <c r="L40" s="13" t="s">
        <v>81</v>
      </c>
      <c r="M40" s="13" t="s">
        <v>81</v>
      </c>
      <c r="N40" s="13" t="s">
        <v>81</v>
      </c>
      <c r="O40" s="9" t="s">
        <v>216</v>
      </c>
      <c r="P40" s="9" t="s">
        <v>217</v>
      </c>
      <c r="Q40" s="9" t="s">
        <v>218</v>
      </c>
      <c r="R40" s="61" t="s">
        <v>219</v>
      </c>
      <c r="S40" s="61"/>
      <c r="T40" s="61" t="s">
        <v>220</v>
      </c>
      <c r="U40" s="61"/>
      <c r="V40" s="8">
        <v>0</v>
      </c>
      <c r="W40" s="8">
        <v>0</v>
      </c>
      <c r="X40" s="8">
        <v>0</v>
      </c>
      <c r="Y40" s="8">
        <v>0</v>
      </c>
      <c r="Z40" s="10" t="s">
        <v>221</v>
      </c>
      <c r="AA40" s="7" t="str">
        <f>_xlfn.CONCAT("0x",BIN2HEX(MID(Z40,1,4),1),BIN2HEX(MID(Z40,6,4),1),BIN2HEX(MID(Z40,11,4),1))</f>
        <v>0x00E</v>
      </c>
    </row>
    <row r="41" spans="2:27" s="6" customFormat="1" ht="17" customHeight="1" x14ac:dyDescent="0.45">
      <c r="B41" s="7" t="s">
        <v>222</v>
      </c>
      <c r="C41" s="7" t="s">
        <v>223</v>
      </c>
      <c r="D41" s="7" t="s">
        <v>176</v>
      </c>
      <c r="E41" s="7" t="s">
        <v>204</v>
      </c>
      <c r="F41" s="8" t="s">
        <v>28</v>
      </c>
      <c r="G41" s="8" t="s">
        <v>28</v>
      </c>
      <c r="H41" s="8" t="s">
        <v>28</v>
      </c>
      <c r="I41" s="8" t="s">
        <v>28</v>
      </c>
      <c r="J41" s="13" t="s">
        <v>81</v>
      </c>
      <c r="K41" s="13" t="s">
        <v>81</v>
      </c>
      <c r="L41" s="61" t="s">
        <v>224</v>
      </c>
      <c r="M41" s="61"/>
      <c r="N41" s="61"/>
      <c r="O41" s="61"/>
      <c r="P41" s="61"/>
      <c r="Q41" s="61"/>
      <c r="R41" s="61"/>
      <c r="S41" s="61"/>
      <c r="T41" s="61"/>
      <c r="U41" s="61"/>
      <c r="V41" s="8">
        <v>0</v>
      </c>
      <c r="W41" s="8">
        <v>0</v>
      </c>
      <c r="X41" s="8">
        <v>0</v>
      </c>
      <c r="Y41" s="8">
        <v>0</v>
      </c>
      <c r="Z41" s="10" t="s">
        <v>37</v>
      </c>
      <c r="AA41" s="7" t="str">
        <f t="shared" si="1"/>
        <v>0x000</v>
      </c>
    </row>
    <row r="42" spans="2:27" s="6" customFormat="1" ht="17" customHeight="1" x14ac:dyDescent="0.45">
      <c r="B42" s="49" t="s">
        <v>225</v>
      </c>
      <c r="C42" s="7" t="s">
        <v>226</v>
      </c>
      <c r="D42" s="7" t="s">
        <v>176</v>
      </c>
      <c r="E42" s="7" t="s">
        <v>204</v>
      </c>
      <c r="F42" s="8" t="s">
        <v>28</v>
      </c>
      <c r="G42" s="8" t="s">
        <v>28</v>
      </c>
      <c r="H42" s="8" t="s">
        <v>28</v>
      </c>
      <c r="I42" s="8" t="s">
        <v>28</v>
      </c>
      <c r="J42" s="13" t="s">
        <v>81</v>
      </c>
      <c r="K42" s="13" t="s">
        <v>81</v>
      </c>
      <c r="L42" s="61" t="s">
        <v>227</v>
      </c>
      <c r="M42" s="61"/>
      <c r="N42" s="61"/>
      <c r="O42" s="61"/>
      <c r="P42" s="61"/>
      <c r="Q42" s="61"/>
      <c r="R42" s="61"/>
      <c r="S42" s="61"/>
      <c r="T42" s="61"/>
      <c r="U42" s="61"/>
      <c r="V42" s="8">
        <v>0</v>
      </c>
      <c r="W42" s="8">
        <v>0</v>
      </c>
      <c r="X42" s="8">
        <v>0</v>
      </c>
      <c r="Y42" s="8">
        <v>0</v>
      </c>
      <c r="Z42" s="10" t="s">
        <v>37</v>
      </c>
      <c r="AA42" s="7" t="str">
        <f t="shared" si="1"/>
        <v>0x000</v>
      </c>
    </row>
    <row r="43" spans="2:27" s="6" customFormat="1" ht="17" customHeight="1" x14ac:dyDescent="0.45">
      <c r="B43" s="7" t="s">
        <v>228</v>
      </c>
      <c r="C43" s="7" t="s">
        <v>229</v>
      </c>
      <c r="D43" s="7" t="s">
        <v>176</v>
      </c>
      <c r="E43" s="48" t="s">
        <v>177</v>
      </c>
      <c r="F43" s="8" t="s">
        <v>28</v>
      </c>
      <c r="G43" s="8" t="s">
        <v>28</v>
      </c>
      <c r="H43" s="8" t="s">
        <v>28</v>
      </c>
      <c r="I43" s="8" t="s">
        <v>28</v>
      </c>
      <c r="J43" s="61" t="s">
        <v>230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8">
        <v>0</v>
      </c>
      <c r="W43" s="8">
        <v>0</v>
      </c>
      <c r="X43" s="8">
        <v>0</v>
      </c>
      <c r="Y43" s="8">
        <v>0</v>
      </c>
      <c r="Z43" s="10" t="s">
        <v>37</v>
      </c>
      <c r="AA43" s="7" t="str">
        <f t="shared" si="1"/>
        <v>0x000</v>
      </c>
    </row>
    <row r="44" spans="2:27" s="6" customFormat="1" ht="17" customHeight="1" x14ac:dyDescent="0.45">
      <c r="B44" s="49" t="s">
        <v>231</v>
      </c>
      <c r="C44" s="7" t="s">
        <v>232</v>
      </c>
      <c r="D44" s="7" t="s">
        <v>176</v>
      </c>
      <c r="E44" s="48" t="s">
        <v>177</v>
      </c>
      <c r="F44" s="8" t="s">
        <v>28</v>
      </c>
      <c r="G44" s="8" t="s">
        <v>28</v>
      </c>
      <c r="H44" s="8" t="s">
        <v>28</v>
      </c>
      <c r="I44" s="8" t="s">
        <v>28</v>
      </c>
      <c r="J44" s="61" t="s">
        <v>233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8">
        <v>0</v>
      </c>
      <c r="W44" s="8">
        <v>0</v>
      </c>
      <c r="X44" s="8">
        <v>0</v>
      </c>
      <c r="Y44" s="8">
        <v>0</v>
      </c>
      <c r="Z44" s="10" t="s">
        <v>37</v>
      </c>
      <c r="AA44" s="7" t="str">
        <f t="shared" si="1"/>
        <v>0x000</v>
      </c>
    </row>
    <row r="45" spans="2:27" s="6" customFormat="1" ht="17" customHeight="1" x14ac:dyDescent="0.45">
      <c r="B45" s="7" t="s">
        <v>234</v>
      </c>
      <c r="C45" s="7" t="s">
        <v>235</v>
      </c>
      <c r="D45" s="7" t="s">
        <v>176</v>
      </c>
      <c r="E45" s="48" t="s">
        <v>177</v>
      </c>
      <c r="F45" s="8" t="s">
        <v>28</v>
      </c>
      <c r="G45" s="8" t="s">
        <v>28</v>
      </c>
      <c r="H45" s="8" t="s">
        <v>28</v>
      </c>
      <c r="I45" s="8" t="s">
        <v>28</v>
      </c>
      <c r="J45" s="61" t="s">
        <v>236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8">
        <v>0</v>
      </c>
      <c r="W45" s="8">
        <v>0</v>
      </c>
      <c r="X45" s="8">
        <v>0</v>
      </c>
      <c r="Y45" s="8">
        <v>0</v>
      </c>
      <c r="Z45" s="10" t="s">
        <v>37</v>
      </c>
      <c r="AA45" s="7" t="str">
        <f t="shared" si="1"/>
        <v>0x000</v>
      </c>
    </row>
    <row r="46" spans="2:27" s="6" customFormat="1" ht="17" customHeight="1" x14ac:dyDescent="0.45">
      <c r="B46" s="7" t="s">
        <v>237</v>
      </c>
      <c r="C46" s="7" t="s">
        <v>238</v>
      </c>
      <c r="D46" s="7" t="s">
        <v>176</v>
      </c>
      <c r="E46" s="48" t="s">
        <v>204</v>
      </c>
      <c r="F46" s="8" t="s">
        <v>28</v>
      </c>
      <c r="G46" s="8" t="s">
        <v>28</v>
      </c>
      <c r="H46" s="8" t="s">
        <v>28</v>
      </c>
      <c r="I46" s="8" t="s">
        <v>28</v>
      </c>
      <c r="J46" s="61" t="s">
        <v>239</v>
      </c>
      <c r="K46" s="61"/>
      <c r="L46" s="61"/>
      <c r="M46" s="61"/>
      <c r="N46" s="61" t="s">
        <v>240</v>
      </c>
      <c r="O46" s="61"/>
      <c r="P46" s="61"/>
      <c r="Q46" s="61"/>
      <c r="R46" s="61" t="s">
        <v>241</v>
      </c>
      <c r="S46" s="61"/>
      <c r="T46" s="61"/>
      <c r="U46" s="61"/>
      <c r="V46" s="8">
        <v>0</v>
      </c>
      <c r="W46" s="8">
        <v>0</v>
      </c>
      <c r="X46" s="8">
        <v>0</v>
      </c>
      <c r="Y46" s="8">
        <v>0</v>
      </c>
      <c r="Z46" s="10" t="s">
        <v>242</v>
      </c>
      <c r="AA46" s="7" t="str">
        <f>_xlfn.CONCAT("0x",BIN2HEX(MID(Z46,1,4),1),BIN2HEX(MID(Z46,6,4),1),BIN2HEX(MID(Z46,11,4),1))</f>
        <v>0x888</v>
      </c>
    </row>
    <row r="47" spans="2:27" s="6" customFormat="1" ht="17" customHeight="1" x14ac:dyDescent="0.45">
      <c r="B47" s="7" t="s">
        <v>243</v>
      </c>
      <c r="C47" s="7" t="s">
        <v>244</v>
      </c>
      <c r="D47" s="7" t="s">
        <v>176</v>
      </c>
      <c r="E47" s="7" t="s">
        <v>204</v>
      </c>
      <c r="F47" s="8" t="s">
        <v>28</v>
      </c>
      <c r="G47" s="8" t="s">
        <v>28</v>
      </c>
      <c r="H47" s="8" t="s">
        <v>28</v>
      </c>
      <c r="I47" s="8" t="s">
        <v>28</v>
      </c>
      <c r="J47" s="61" t="s">
        <v>245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8">
        <v>0</v>
      </c>
      <c r="W47" s="8">
        <v>0</v>
      </c>
      <c r="X47" s="8">
        <v>0</v>
      </c>
      <c r="Y47" s="8">
        <v>0</v>
      </c>
      <c r="Z47" s="10" t="s">
        <v>246</v>
      </c>
      <c r="AA47" s="7" t="str">
        <f t="shared" ref="AA47:AA56" si="2">_xlfn.CONCAT("0x",BIN2HEX(MID(Z47,1,4),1),BIN2HEX(MID(Z47,6,4),1),BIN2HEX(MID(Z47,11,4),1))</f>
        <v>0x200</v>
      </c>
    </row>
    <row r="48" spans="2:27" s="6" customFormat="1" ht="17" customHeight="1" x14ac:dyDescent="0.45">
      <c r="B48" s="7" t="s">
        <v>247</v>
      </c>
      <c r="C48" s="7" t="s">
        <v>248</v>
      </c>
      <c r="D48" s="7" t="s">
        <v>176</v>
      </c>
      <c r="E48" s="7" t="s">
        <v>204</v>
      </c>
      <c r="F48" s="8" t="s">
        <v>28</v>
      </c>
      <c r="G48" s="8" t="s">
        <v>28</v>
      </c>
      <c r="H48" s="8" t="s">
        <v>28</v>
      </c>
      <c r="I48" s="8" t="s">
        <v>28</v>
      </c>
      <c r="J48" s="61" t="s">
        <v>249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8">
        <v>0</v>
      </c>
      <c r="W48" s="8">
        <v>0</v>
      </c>
      <c r="X48" s="8">
        <v>0</v>
      </c>
      <c r="Y48" s="8">
        <v>0</v>
      </c>
      <c r="Z48" s="10" t="s">
        <v>246</v>
      </c>
      <c r="AA48" s="7" t="str">
        <f t="shared" si="2"/>
        <v>0x200</v>
      </c>
    </row>
    <row r="49" spans="2:27" s="6" customFormat="1" ht="17" customHeight="1" x14ac:dyDescent="0.45">
      <c r="B49" s="7" t="s">
        <v>250</v>
      </c>
      <c r="C49" s="7" t="s">
        <v>251</v>
      </c>
      <c r="D49" s="7" t="s">
        <v>176</v>
      </c>
      <c r="E49" s="7" t="s">
        <v>204</v>
      </c>
      <c r="F49" s="8" t="s">
        <v>28</v>
      </c>
      <c r="G49" s="8" t="s">
        <v>28</v>
      </c>
      <c r="H49" s="8" t="s">
        <v>28</v>
      </c>
      <c r="I49" s="8" t="s">
        <v>28</v>
      </c>
      <c r="J49" s="61" t="s">
        <v>252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8">
        <v>0</v>
      </c>
      <c r="W49" s="8">
        <v>0</v>
      </c>
      <c r="X49" s="8">
        <v>0</v>
      </c>
      <c r="Y49" s="8">
        <v>0</v>
      </c>
      <c r="Z49" s="10" t="s">
        <v>253</v>
      </c>
      <c r="AA49" s="7" t="str">
        <f t="shared" si="2"/>
        <v>0x21A</v>
      </c>
    </row>
    <row r="50" spans="2:27" s="6" customFormat="1" ht="17" customHeight="1" x14ac:dyDescent="0.45">
      <c r="B50" s="7" t="s">
        <v>254</v>
      </c>
      <c r="C50" s="7" t="s">
        <v>255</v>
      </c>
      <c r="D50" s="7" t="s">
        <v>176</v>
      </c>
      <c r="E50" s="7" t="s">
        <v>204</v>
      </c>
      <c r="F50" s="8" t="s">
        <v>28</v>
      </c>
      <c r="G50" s="8" t="s">
        <v>28</v>
      </c>
      <c r="H50" s="8" t="s">
        <v>28</v>
      </c>
      <c r="I50" s="8" t="s">
        <v>28</v>
      </c>
      <c r="J50" s="61" t="s">
        <v>256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8">
        <v>0</v>
      </c>
      <c r="W50" s="8">
        <v>0</v>
      </c>
      <c r="X50" s="8">
        <v>0</v>
      </c>
      <c r="Y50" s="8">
        <v>0</v>
      </c>
      <c r="Z50" s="10" t="s">
        <v>257</v>
      </c>
      <c r="AA50" s="7" t="str">
        <f t="shared" si="2"/>
        <v>0x231</v>
      </c>
    </row>
    <row r="51" spans="2:27" s="6" customFormat="1" ht="17" customHeight="1" x14ac:dyDescent="0.45">
      <c r="B51" s="7" t="s">
        <v>258</v>
      </c>
      <c r="C51" s="7" t="s">
        <v>259</v>
      </c>
      <c r="D51" s="7" t="s">
        <v>176</v>
      </c>
      <c r="E51" s="7" t="s">
        <v>204</v>
      </c>
      <c r="F51" s="8" t="s">
        <v>28</v>
      </c>
      <c r="G51" s="8" t="s">
        <v>28</v>
      </c>
      <c r="H51" s="8" t="s">
        <v>28</v>
      </c>
      <c r="I51" s="8" t="s">
        <v>28</v>
      </c>
      <c r="J51" s="61" t="s">
        <v>260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8">
        <v>0</v>
      </c>
      <c r="W51" s="8">
        <v>0</v>
      </c>
      <c r="X51" s="8">
        <v>0</v>
      </c>
      <c r="Y51" s="8">
        <v>0</v>
      </c>
      <c r="Z51" s="10" t="s">
        <v>261</v>
      </c>
      <c r="AA51" s="7" t="str">
        <f t="shared" si="2"/>
        <v>0x248</v>
      </c>
    </row>
    <row r="52" spans="2:27" s="6" customFormat="1" ht="17" customHeight="1" x14ac:dyDescent="0.45">
      <c r="B52" s="7" t="s">
        <v>262</v>
      </c>
      <c r="C52" s="7" t="s">
        <v>263</v>
      </c>
      <c r="D52" s="7" t="s">
        <v>176</v>
      </c>
      <c r="E52" s="7" t="s">
        <v>204</v>
      </c>
      <c r="F52" s="8" t="s">
        <v>28</v>
      </c>
      <c r="G52" s="8" t="s">
        <v>28</v>
      </c>
      <c r="H52" s="8" t="s">
        <v>28</v>
      </c>
      <c r="I52" s="8" t="s">
        <v>28</v>
      </c>
      <c r="J52" s="61" t="s">
        <v>264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8">
        <v>0</v>
      </c>
      <c r="W52" s="8">
        <v>0</v>
      </c>
      <c r="X52" s="8">
        <v>0</v>
      </c>
      <c r="Y52" s="8">
        <v>0</v>
      </c>
      <c r="Z52" s="10" t="s">
        <v>265</v>
      </c>
      <c r="AA52" s="7" t="str">
        <f t="shared" si="2"/>
        <v>0x25F</v>
      </c>
    </row>
    <row r="53" spans="2:27" s="6" customFormat="1" ht="17" customHeight="1" x14ac:dyDescent="0.45">
      <c r="B53" s="7" t="s">
        <v>266</v>
      </c>
      <c r="C53" s="7" t="s">
        <v>267</v>
      </c>
      <c r="D53" s="7" t="s">
        <v>176</v>
      </c>
      <c r="E53" s="7" t="s">
        <v>204</v>
      </c>
      <c r="F53" s="8" t="s">
        <v>28</v>
      </c>
      <c r="G53" s="8" t="s">
        <v>28</v>
      </c>
      <c r="H53" s="8" t="s">
        <v>28</v>
      </c>
      <c r="I53" s="8" t="s">
        <v>28</v>
      </c>
      <c r="J53" s="61" t="s">
        <v>268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8">
        <v>0</v>
      </c>
      <c r="W53" s="8">
        <v>0</v>
      </c>
      <c r="X53" s="8">
        <v>0</v>
      </c>
      <c r="Y53" s="8">
        <v>0</v>
      </c>
      <c r="Z53" s="10" t="s">
        <v>269</v>
      </c>
      <c r="AA53" s="7" t="str">
        <f t="shared" si="2"/>
        <v>0x276</v>
      </c>
    </row>
    <row r="54" spans="2:27" s="6" customFormat="1" ht="17" customHeight="1" x14ac:dyDescent="0.45">
      <c r="B54" s="7" t="s">
        <v>270</v>
      </c>
      <c r="C54" s="7" t="s">
        <v>271</v>
      </c>
      <c r="D54" s="7" t="s">
        <v>176</v>
      </c>
      <c r="E54" s="7" t="s">
        <v>204</v>
      </c>
      <c r="F54" s="8" t="s">
        <v>28</v>
      </c>
      <c r="G54" s="8" t="s">
        <v>28</v>
      </c>
      <c r="H54" s="8" t="s">
        <v>28</v>
      </c>
      <c r="I54" s="8" t="s">
        <v>28</v>
      </c>
      <c r="J54" s="61" t="s">
        <v>272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8">
        <v>0</v>
      </c>
      <c r="W54" s="8">
        <v>0</v>
      </c>
      <c r="X54" s="8">
        <v>0</v>
      </c>
      <c r="Y54" s="8">
        <v>0</v>
      </c>
      <c r="Z54" s="10" t="s">
        <v>273</v>
      </c>
      <c r="AA54" s="7" t="str">
        <f t="shared" si="2"/>
        <v>0x28D</v>
      </c>
    </row>
    <row r="55" spans="2:27" s="6" customFormat="1" ht="17" customHeight="1" x14ac:dyDescent="0.45">
      <c r="B55" s="7" t="s">
        <v>274</v>
      </c>
      <c r="C55" s="7" t="s">
        <v>275</v>
      </c>
      <c r="D55" s="7" t="s">
        <v>176</v>
      </c>
      <c r="E55" s="7" t="s">
        <v>204</v>
      </c>
      <c r="F55" s="8" t="s">
        <v>28</v>
      </c>
      <c r="G55" s="8" t="s">
        <v>28</v>
      </c>
      <c r="H55" s="8" t="s">
        <v>28</v>
      </c>
      <c r="I55" s="8" t="s">
        <v>28</v>
      </c>
      <c r="J55" s="61" t="s">
        <v>276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8">
        <v>0</v>
      </c>
      <c r="W55" s="8">
        <v>0</v>
      </c>
      <c r="X55" s="8">
        <v>0</v>
      </c>
      <c r="Y55" s="8">
        <v>0</v>
      </c>
      <c r="Z55" s="10" t="s">
        <v>277</v>
      </c>
      <c r="AA55" s="7" t="str">
        <f t="shared" si="2"/>
        <v>0x2A4</v>
      </c>
    </row>
    <row r="56" spans="2:27" s="6" customFormat="1" ht="17" customHeight="1" x14ac:dyDescent="0.45">
      <c r="B56" s="7" t="s">
        <v>278</v>
      </c>
      <c r="C56" s="7" t="s">
        <v>279</v>
      </c>
      <c r="D56" s="7" t="s">
        <v>176</v>
      </c>
      <c r="E56" s="7" t="s">
        <v>204</v>
      </c>
      <c r="F56" s="8" t="s">
        <v>28</v>
      </c>
      <c r="G56" s="8" t="s">
        <v>28</v>
      </c>
      <c r="H56" s="8" t="s">
        <v>28</v>
      </c>
      <c r="I56" s="8" t="s">
        <v>28</v>
      </c>
      <c r="J56" s="61" t="s">
        <v>280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8">
        <v>0</v>
      </c>
      <c r="W56" s="8">
        <v>0</v>
      </c>
      <c r="X56" s="8">
        <v>0</v>
      </c>
      <c r="Y56" s="8">
        <v>0</v>
      </c>
      <c r="Z56" s="10" t="s">
        <v>281</v>
      </c>
      <c r="AA56" s="7" t="str">
        <f t="shared" si="2"/>
        <v>0x2BB</v>
      </c>
    </row>
    <row r="57" spans="2:27" s="6" customFormat="1" ht="17" customHeight="1" x14ac:dyDescent="0.45">
      <c r="B57" s="7" t="s">
        <v>282</v>
      </c>
      <c r="C57" s="7" t="s">
        <v>283</v>
      </c>
      <c r="D57" s="7" t="s">
        <v>176</v>
      </c>
      <c r="E57" s="7" t="s">
        <v>204</v>
      </c>
      <c r="F57" s="8" t="s">
        <v>28</v>
      </c>
      <c r="G57" s="8" t="s">
        <v>28</v>
      </c>
      <c r="H57" s="8" t="s">
        <v>28</v>
      </c>
      <c r="I57" s="8" t="s">
        <v>28</v>
      </c>
      <c r="J57" s="61" t="s">
        <v>284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8">
        <v>0</v>
      </c>
      <c r="W57" s="8">
        <v>0</v>
      </c>
      <c r="X57" s="8">
        <v>0</v>
      </c>
      <c r="Y57" s="8">
        <v>0</v>
      </c>
      <c r="Z57" s="10" t="s">
        <v>285</v>
      </c>
      <c r="AA57" s="7" t="str">
        <f>_xlfn.CONCAT("0x",BIN2HEX(MID(Z57,1,4),1),BIN2HEX(MID(Z57,6,4),1),BIN2HEX(MID(Z57,11,4),1))</f>
        <v>0x800</v>
      </c>
    </row>
    <row r="58" spans="2:27" s="6" customFormat="1" ht="17" customHeight="1" x14ac:dyDescent="0.45">
      <c r="B58" s="50"/>
    </row>
    <row r="59" spans="2:27" s="6" customFormat="1" ht="17" customHeight="1" x14ac:dyDescent="0.45">
      <c r="B59" s="67" t="s">
        <v>0</v>
      </c>
      <c r="C59" s="67" t="s">
        <v>1</v>
      </c>
      <c r="D59" s="65" t="s">
        <v>2</v>
      </c>
      <c r="E59" s="65" t="s">
        <v>3</v>
      </c>
      <c r="F59" s="47" t="s">
        <v>4</v>
      </c>
      <c r="G59" s="47" t="s">
        <v>5</v>
      </c>
      <c r="H59" s="47" t="s">
        <v>6</v>
      </c>
      <c r="I59" s="47" t="s">
        <v>7</v>
      </c>
      <c r="J59" s="46" t="s">
        <v>286</v>
      </c>
      <c r="K59" s="46" t="s">
        <v>287</v>
      </c>
      <c r="L59" s="46" t="s">
        <v>288</v>
      </c>
      <c r="M59" s="46" t="s">
        <v>289</v>
      </c>
      <c r="N59" s="46" t="s">
        <v>290</v>
      </c>
      <c r="O59" s="46" t="s">
        <v>291</v>
      </c>
      <c r="P59" s="46" t="s">
        <v>292</v>
      </c>
      <c r="Q59" s="46" t="s">
        <v>293</v>
      </c>
      <c r="R59" s="46" t="s">
        <v>4</v>
      </c>
      <c r="S59" s="46" t="s">
        <v>5</v>
      </c>
      <c r="T59" s="46" t="s">
        <v>294</v>
      </c>
      <c r="U59" s="46" t="s">
        <v>295</v>
      </c>
      <c r="V59" s="62"/>
      <c r="W59" s="63"/>
      <c r="X59" s="63"/>
      <c r="Y59" s="64"/>
      <c r="Z59" s="65" t="s">
        <v>20</v>
      </c>
      <c r="AA59" s="65" t="s">
        <v>21</v>
      </c>
    </row>
    <row r="60" spans="2:27" s="6" customFormat="1" ht="17" customHeight="1" x14ac:dyDescent="0.4">
      <c r="B60" s="67"/>
      <c r="C60" s="67"/>
      <c r="D60" s="65"/>
      <c r="E60" s="65"/>
      <c r="F60" s="66" t="s">
        <v>22</v>
      </c>
      <c r="G60" s="66"/>
      <c r="H60" s="66"/>
      <c r="I60" s="66"/>
      <c r="J60" s="47" t="s">
        <v>168</v>
      </c>
      <c r="K60" s="47" t="s">
        <v>169</v>
      </c>
      <c r="L60" s="47" t="s">
        <v>170</v>
      </c>
      <c r="M60" s="47" t="s">
        <v>171</v>
      </c>
      <c r="N60" s="47" t="s">
        <v>172</v>
      </c>
      <c r="O60" s="47" t="s">
        <v>173</v>
      </c>
      <c r="P60" s="47" t="s">
        <v>14</v>
      </c>
      <c r="Q60" s="47" t="s">
        <v>15</v>
      </c>
      <c r="R60" s="47" t="s">
        <v>16</v>
      </c>
      <c r="S60" s="47" t="s">
        <v>17</v>
      </c>
      <c r="T60" s="47" t="s">
        <v>296</v>
      </c>
      <c r="U60" s="47" t="s">
        <v>297</v>
      </c>
      <c r="V60" s="47"/>
      <c r="W60" s="47"/>
      <c r="X60" s="47"/>
      <c r="Y60" s="47"/>
      <c r="Z60" s="65"/>
      <c r="AA60" s="65"/>
    </row>
    <row r="61" spans="2:27" s="6" customFormat="1" ht="17" customHeight="1" x14ac:dyDescent="0.45">
      <c r="B61" s="9" t="s">
        <v>298</v>
      </c>
      <c r="C61" s="59" t="s">
        <v>299</v>
      </c>
      <c r="D61" s="59" t="s">
        <v>176</v>
      </c>
      <c r="E61" s="59" t="s">
        <v>204</v>
      </c>
      <c r="F61" s="8" t="s">
        <v>28</v>
      </c>
      <c r="G61" s="8" t="s">
        <v>28</v>
      </c>
      <c r="H61" s="8" t="s">
        <v>28</v>
      </c>
      <c r="I61" s="8" t="s">
        <v>28</v>
      </c>
      <c r="J61" s="13" t="s">
        <v>81</v>
      </c>
      <c r="K61" s="13" t="s">
        <v>81</v>
      </c>
      <c r="L61" s="13" t="s">
        <v>81</v>
      </c>
      <c r="M61" s="13" t="s">
        <v>81</v>
      </c>
      <c r="N61" s="13" t="s">
        <v>81</v>
      </c>
      <c r="O61" s="13" t="s">
        <v>81</v>
      </c>
      <c r="P61" s="13" t="s">
        <v>81</v>
      </c>
      <c r="Q61" s="13" t="s">
        <v>81</v>
      </c>
      <c r="R61" s="61" t="s">
        <v>300</v>
      </c>
      <c r="S61" s="61"/>
      <c r="T61" s="61"/>
      <c r="U61" s="61"/>
      <c r="V61" s="46"/>
      <c r="W61" s="46"/>
      <c r="X61" s="46"/>
      <c r="Y61" s="46"/>
      <c r="Z61" s="10" t="s">
        <v>37</v>
      </c>
      <c r="AA61" s="7" t="str">
        <f>_xlfn.CONCAT("0x",BIN2HEX(MID(Z61,1,4),1),BIN2HEX(MID(Z61,6,4),1),BIN2HEX(MID(Z61,11,4),1))</f>
        <v>0x000</v>
      </c>
    </row>
    <row r="62" spans="2:27" s="6" customFormat="1" ht="17" customHeight="1" x14ac:dyDescent="0.45">
      <c r="B62" s="9" t="s">
        <v>301</v>
      </c>
      <c r="C62" s="60"/>
      <c r="D62" s="60"/>
      <c r="E62" s="60"/>
      <c r="F62" s="8" t="s">
        <v>28</v>
      </c>
      <c r="G62" s="8" t="s">
        <v>28</v>
      </c>
      <c r="H62" s="8" t="s">
        <v>28</v>
      </c>
      <c r="I62" s="8" t="s">
        <v>28</v>
      </c>
      <c r="J62" s="61" t="s">
        <v>302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46"/>
      <c r="W62" s="46"/>
      <c r="X62" s="46"/>
      <c r="Y62" s="46"/>
      <c r="Z62" s="10" t="s">
        <v>37</v>
      </c>
      <c r="AA62" s="7" t="str">
        <f>_xlfn.CONCAT("0x",BIN2HEX(MID(Z62,1,4),1),BIN2HEX(MID(Z62,6,4),1),BIN2HEX(MID(Z62,11,4),1))</f>
        <v>0x000</v>
      </c>
    </row>
    <row r="63" spans="2:27" s="6" customFormat="1" ht="17" customHeight="1" x14ac:dyDescent="0.45">
      <c r="B63" s="9" t="s">
        <v>303</v>
      </c>
      <c r="C63" s="59" t="s">
        <v>304</v>
      </c>
      <c r="D63" s="59" t="s">
        <v>176</v>
      </c>
      <c r="E63" s="59" t="s">
        <v>204</v>
      </c>
      <c r="F63" s="8" t="s">
        <v>28</v>
      </c>
      <c r="G63" s="8" t="s">
        <v>28</v>
      </c>
      <c r="H63" s="8" t="s">
        <v>28</v>
      </c>
      <c r="I63" s="8" t="s">
        <v>28</v>
      </c>
      <c r="J63" s="61" t="s">
        <v>305</v>
      </c>
      <c r="K63" s="61"/>
      <c r="L63" s="61"/>
      <c r="M63" s="61"/>
      <c r="N63" s="61"/>
      <c r="O63" s="61"/>
      <c r="P63" s="61"/>
      <c r="Q63" s="61"/>
      <c r="R63" s="61" t="s">
        <v>306</v>
      </c>
      <c r="S63" s="61"/>
      <c r="T63" s="61"/>
      <c r="U63" s="61"/>
      <c r="V63" s="46"/>
      <c r="W63" s="46"/>
      <c r="X63" s="46"/>
      <c r="Y63" s="46"/>
      <c r="Z63" s="10" t="s">
        <v>37</v>
      </c>
      <c r="AA63" s="7" t="str">
        <f>_xlfn.CONCAT("0x",BIN2HEX(MID(Z63,1,4),1),BIN2HEX(MID(Z63,6,4),1),BIN2HEX(MID(Z63,11,4),1))</f>
        <v>0x000</v>
      </c>
    </row>
    <row r="64" spans="2:27" s="6" customFormat="1" ht="17" customHeight="1" x14ac:dyDescent="0.45">
      <c r="B64" s="9" t="s">
        <v>307</v>
      </c>
      <c r="C64" s="60"/>
      <c r="D64" s="60"/>
      <c r="E64" s="60"/>
      <c r="F64" s="8" t="s">
        <v>28</v>
      </c>
      <c r="G64" s="8" t="s">
        <v>28</v>
      </c>
      <c r="H64" s="8" t="s">
        <v>28</v>
      </c>
      <c r="I64" s="8" t="s">
        <v>28</v>
      </c>
      <c r="J64" s="61" t="s">
        <v>306</v>
      </c>
      <c r="K64" s="61"/>
      <c r="L64" s="61"/>
      <c r="M64" s="61"/>
      <c r="N64" s="61" t="s">
        <v>308</v>
      </c>
      <c r="O64" s="61"/>
      <c r="P64" s="61"/>
      <c r="Q64" s="61"/>
      <c r="R64" s="61"/>
      <c r="S64" s="61"/>
      <c r="T64" s="61"/>
      <c r="U64" s="61"/>
      <c r="V64" s="46"/>
      <c r="W64" s="46"/>
      <c r="X64" s="46"/>
      <c r="Y64" s="46"/>
      <c r="Z64" s="10" t="s">
        <v>37</v>
      </c>
      <c r="AA64" s="7" t="str">
        <f>_xlfn.CONCAT("0x",BIN2HEX(MID(Z64,1,4),1),BIN2HEX(MID(Z64,6,4),1),BIN2HEX(MID(Z64,11,4),1))</f>
        <v>0x000</v>
      </c>
    </row>
  </sheetData>
  <mergeCells count="78">
    <mergeCell ref="F2:I2"/>
    <mergeCell ref="M5:O5"/>
    <mergeCell ref="P5:R5"/>
    <mergeCell ref="N6:Q6"/>
    <mergeCell ref="R6:U6"/>
    <mergeCell ref="J7:U7"/>
    <mergeCell ref="J8:U8"/>
    <mergeCell ref="J10:L10"/>
    <mergeCell ref="M10:O10"/>
    <mergeCell ref="P10:U10"/>
    <mergeCell ref="J11:K11"/>
    <mergeCell ref="L11:M11"/>
    <mergeCell ref="N11:P11"/>
    <mergeCell ref="Q11:U11"/>
    <mergeCell ref="L12:Q12"/>
    <mergeCell ref="R12:U12"/>
    <mergeCell ref="J26:U26"/>
    <mergeCell ref="J13:Q13"/>
    <mergeCell ref="R13:U13"/>
    <mergeCell ref="M16:U16"/>
    <mergeCell ref="Q17:U17"/>
    <mergeCell ref="N18:U18"/>
    <mergeCell ref="N19:U19"/>
    <mergeCell ref="N20:U20"/>
    <mergeCell ref="L21:U21"/>
    <mergeCell ref="L22:U22"/>
    <mergeCell ref="J24:U24"/>
    <mergeCell ref="J25:U25"/>
    <mergeCell ref="L41:U41"/>
    <mergeCell ref="N27:U27"/>
    <mergeCell ref="V33:Y33"/>
    <mergeCell ref="F34:I34"/>
    <mergeCell ref="O35:Q35"/>
    <mergeCell ref="R35:S35"/>
    <mergeCell ref="T35:U35"/>
    <mergeCell ref="L37:U37"/>
    <mergeCell ref="L38:U38"/>
    <mergeCell ref="R39:U39"/>
    <mergeCell ref="R40:S40"/>
    <mergeCell ref="T40:U40"/>
    <mergeCell ref="L42:U42"/>
    <mergeCell ref="J43:U43"/>
    <mergeCell ref="J44:U44"/>
    <mergeCell ref="J45:U45"/>
    <mergeCell ref="J46:M46"/>
    <mergeCell ref="N46:Q46"/>
    <mergeCell ref="R46:U46"/>
    <mergeCell ref="B59:B60"/>
    <mergeCell ref="C59:C60"/>
    <mergeCell ref="D59:D60"/>
    <mergeCell ref="E59:E60"/>
    <mergeCell ref="J47:U47"/>
    <mergeCell ref="J48:U48"/>
    <mergeCell ref="J49:U49"/>
    <mergeCell ref="J50:U50"/>
    <mergeCell ref="J51:U51"/>
    <mergeCell ref="J52:U52"/>
    <mergeCell ref="J53:U53"/>
    <mergeCell ref="J54:U54"/>
    <mergeCell ref="J55:U55"/>
    <mergeCell ref="J56:U56"/>
    <mergeCell ref="J57:U57"/>
    <mergeCell ref="V59:Y59"/>
    <mergeCell ref="Z59:Z60"/>
    <mergeCell ref="AA59:AA60"/>
    <mergeCell ref="F60:I60"/>
    <mergeCell ref="C61:C62"/>
    <mergeCell ref="D61:D62"/>
    <mergeCell ref="E61:E62"/>
    <mergeCell ref="R61:U61"/>
    <mergeCell ref="J62:U62"/>
    <mergeCell ref="C63:C64"/>
    <mergeCell ref="D63:D64"/>
    <mergeCell ref="E63:E64"/>
    <mergeCell ref="J63:Q63"/>
    <mergeCell ref="R63:U63"/>
    <mergeCell ref="J64:M64"/>
    <mergeCell ref="N64:U64"/>
  </mergeCells>
  <phoneticPr fontId="2" type="noConversion"/>
  <conditionalFormatting sqref="R22">
    <cfRule type="cellIs" dxfId="2" priority="3" operator="equal">
      <formula>"RSVD"</formula>
    </cfRule>
  </conditionalFormatting>
  <conditionalFormatting sqref="R39">
    <cfRule type="cellIs" dxfId="1" priority="1" operator="equal">
      <formula>"RSVD"</formula>
    </cfRule>
  </conditionalFormatting>
  <conditionalFormatting sqref="R41">
    <cfRule type="cellIs" dxfId="0" priority="2" operator="equal">
      <formula>"RSVD"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FBCF-FAE0-456D-B48B-7BF5660EDC62}">
  <dimension ref="B2:W162"/>
  <sheetViews>
    <sheetView tabSelected="1" zoomScale="115" zoomScaleNormal="115" workbookViewId="0">
      <selection activeCell="D10" sqref="D10"/>
    </sheetView>
  </sheetViews>
  <sheetFormatPr defaultRowHeight="17" x14ac:dyDescent="0.45"/>
  <cols>
    <col min="2" max="2" width="14.25" customWidth="1"/>
    <col min="3" max="3" width="13.83203125" customWidth="1"/>
    <col min="6" max="9" width="5.25" bestFit="1" customWidth="1"/>
    <col min="10" max="10" width="7.08203125" bestFit="1" customWidth="1"/>
    <col min="11" max="11" width="6.58203125" bestFit="1" customWidth="1"/>
    <col min="12" max="12" width="12.58203125" bestFit="1" customWidth="1"/>
    <col min="13" max="13" width="3.5" customWidth="1"/>
    <col min="14" max="14" width="3.5" bestFit="1" customWidth="1"/>
    <col min="15" max="15" width="4.08203125" bestFit="1" customWidth="1"/>
    <col min="16" max="16" width="4.75" bestFit="1" customWidth="1"/>
    <col min="17" max="17" width="4.58203125" bestFit="1" customWidth="1"/>
    <col min="18" max="18" width="3.5" bestFit="1" customWidth="1"/>
    <col min="19" max="20" width="12.83203125" bestFit="1" customWidth="1"/>
    <col min="21" max="21" width="12.75" bestFit="1" customWidth="1"/>
    <col min="22" max="22" width="14.08203125" bestFit="1" customWidth="1"/>
    <col min="23" max="23" width="8.25" bestFit="1" customWidth="1"/>
  </cols>
  <sheetData>
    <row r="2" spans="2:23" ht="17.5" thickBot="1" x14ac:dyDescent="0.5"/>
    <row r="3" spans="2:23" ht="17" customHeight="1" x14ac:dyDescent="0.45">
      <c r="B3" s="125" t="s">
        <v>128</v>
      </c>
      <c r="C3" s="125"/>
      <c r="D3" s="125"/>
      <c r="G3" s="118" t="s">
        <v>139</v>
      </c>
      <c r="H3" s="119"/>
      <c r="I3" s="119"/>
      <c r="J3" s="119"/>
      <c r="K3" s="120"/>
    </row>
    <row r="4" spans="2:23" s="23" customFormat="1" ht="16" x14ac:dyDescent="0.45">
      <c r="B4" s="22" t="s">
        <v>130</v>
      </c>
      <c r="C4" s="22" t="s">
        <v>131</v>
      </c>
      <c r="D4" s="22" t="s">
        <v>132</v>
      </c>
      <c r="G4" s="24" t="s">
        <v>140</v>
      </c>
      <c r="H4" s="25" t="s">
        <v>141</v>
      </c>
      <c r="I4" s="25" t="s">
        <v>142</v>
      </c>
      <c r="J4" s="25" t="s">
        <v>342</v>
      </c>
      <c r="K4" s="26" t="s">
        <v>143</v>
      </c>
    </row>
    <row r="5" spans="2:23" s="23" customFormat="1" ht="8" x14ac:dyDescent="0.45">
      <c r="B5" s="22" t="s">
        <v>129</v>
      </c>
      <c r="C5" s="22">
        <v>0</v>
      </c>
      <c r="D5" s="22">
        <v>1</v>
      </c>
      <c r="G5" s="24">
        <v>0</v>
      </c>
      <c r="H5" s="25">
        <v>0</v>
      </c>
      <c r="I5" s="25">
        <v>0</v>
      </c>
      <c r="J5" s="25" t="s">
        <v>144</v>
      </c>
      <c r="K5" s="26" t="s">
        <v>145</v>
      </c>
    </row>
    <row r="6" spans="2:23" s="23" customFormat="1" ht="8" x14ac:dyDescent="0.45">
      <c r="B6" s="27"/>
      <c r="C6" s="27"/>
      <c r="D6" s="27"/>
      <c r="E6" s="23">
        <v>66</v>
      </c>
      <c r="G6" s="24">
        <v>0</v>
      </c>
      <c r="H6" s="25">
        <v>0</v>
      </c>
      <c r="I6" s="25">
        <v>1</v>
      </c>
      <c r="J6" s="25" t="s">
        <v>146</v>
      </c>
      <c r="K6" s="26" t="s">
        <v>147</v>
      </c>
    </row>
    <row r="7" spans="2:23" s="23" customFormat="1" ht="8" x14ac:dyDescent="0.45">
      <c r="B7" s="27"/>
      <c r="C7" s="27"/>
      <c r="D7" s="27"/>
      <c r="G7" s="24">
        <v>0</v>
      </c>
      <c r="H7" s="25">
        <v>1</v>
      </c>
      <c r="I7" s="25">
        <v>0</v>
      </c>
      <c r="J7" s="25" t="s">
        <v>144</v>
      </c>
      <c r="K7" s="26" t="s">
        <v>148</v>
      </c>
    </row>
    <row r="8" spans="2:23" s="23" customFormat="1" ht="8" x14ac:dyDescent="0.45">
      <c r="B8" s="27"/>
      <c r="C8" s="27"/>
      <c r="D8" s="27"/>
      <c r="G8" s="24">
        <v>0</v>
      </c>
      <c r="H8" s="25">
        <v>1</v>
      </c>
      <c r="I8" s="25">
        <v>1</v>
      </c>
      <c r="J8" s="25" t="s">
        <v>144</v>
      </c>
      <c r="K8" s="26" t="s">
        <v>149</v>
      </c>
    </row>
    <row r="9" spans="2:23" s="23" customFormat="1" ht="8" x14ac:dyDescent="0.45">
      <c r="B9" s="27"/>
      <c r="C9" s="27"/>
      <c r="D9" s="27"/>
      <c r="G9" s="24">
        <v>1</v>
      </c>
      <c r="H9" s="25">
        <v>0</v>
      </c>
      <c r="I9" s="25">
        <v>0</v>
      </c>
      <c r="J9" s="25" t="s">
        <v>144</v>
      </c>
      <c r="K9" s="26" t="s">
        <v>150</v>
      </c>
    </row>
    <row r="10" spans="2:23" s="23" customFormat="1" ht="8" x14ac:dyDescent="0.45">
      <c r="B10" s="27"/>
      <c r="C10" s="27"/>
      <c r="D10" s="27"/>
      <c r="G10" s="24">
        <v>1</v>
      </c>
      <c r="H10" s="25">
        <v>0</v>
      </c>
      <c r="I10" s="25">
        <v>1</v>
      </c>
      <c r="J10" s="25" t="s">
        <v>144</v>
      </c>
      <c r="K10" s="26" t="s">
        <v>151</v>
      </c>
    </row>
    <row r="11" spans="2:23" s="23" customFormat="1" ht="8" x14ac:dyDescent="0.45">
      <c r="B11" s="27"/>
      <c r="C11" s="27"/>
      <c r="D11" s="27"/>
      <c r="G11" s="24">
        <v>1</v>
      </c>
      <c r="H11" s="25">
        <v>1</v>
      </c>
      <c r="I11" s="25">
        <v>0</v>
      </c>
      <c r="J11" s="25" t="s">
        <v>152</v>
      </c>
      <c r="K11" s="26" t="s">
        <v>153</v>
      </c>
    </row>
    <row r="12" spans="2:23" s="23" customFormat="1" ht="16.5" thickBot="1" x14ac:dyDescent="0.5">
      <c r="G12" s="28">
        <v>1</v>
      </c>
      <c r="H12" s="29">
        <v>1</v>
      </c>
      <c r="I12" s="29">
        <v>1</v>
      </c>
      <c r="J12" s="29" t="s">
        <v>146</v>
      </c>
      <c r="K12" s="30" t="s">
        <v>154</v>
      </c>
    </row>
    <row r="15" spans="2:23" x14ac:dyDescent="0.45">
      <c r="B15" t="s">
        <v>127</v>
      </c>
    </row>
    <row r="16" spans="2:23" ht="23" x14ac:dyDescent="0.45">
      <c r="B16" s="1" t="s">
        <v>0</v>
      </c>
      <c r="C16" s="1" t="s">
        <v>1</v>
      </c>
      <c r="D16" s="2" t="s">
        <v>2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8</v>
      </c>
      <c r="K16" s="2" t="s">
        <v>9</v>
      </c>
      <c r="L16" s="2" t="s">
        <v>10</v>
      </c>
      <c r="M16" s="2" t="s">
        <v>11</v>
      </c>
      <c r="N16" s="1" t="s">
        <v>12</v>
      </c>
      <c r="O16" s="1" t="s">
        <v>13</v>
      </c>
      <c r="P16" s="1" t="s">
        <v>14</v>
      </c>
      <c r="Q16" s="1" t="s">
        <v>15</v>
      </c>
      <c r="R16" s="1" t="s">
        <v>16</v>
      </c>
      <c r="S16" s="1" t="s">
        <v>17</v>
      </c>
      <c r="T16" s="1" t="s">
        <v>18</v>
      </c>
      <c r="U16" s="1" t="s">
        <v>19</v>
      </c>
      <c r="V16" s="2" t="s">
        <v>20</v>
      </c>
      <c r="W16" s="2" t="s">
        <v>21</v>
      </c>
    </row>
    <row r="17" spans="2:23" s="15" customFormat="1" ht="14.5" x14ac:dyDescent="0.45">
      <c r="B17" s="7" t="s">
        <v>24</v>
      </c>
      <c r="C17" s="17" t="s">
        <v>25</v>
      </c>
      <c r="D17" s="17" t="s">
        <v>26</v>
      </c>
      <c r="E17" s="17" t="s">
        <v>27</v>
      </c>
      <c r="F17" s="18" t="s">
        <v>28</v>
      </c>
      <c r="G17" s="18" t="s">
        <v>28</v>
      </c>
      <c r="H17" s="18" t="s">
        <v>28</v>
      </c>
      <c r="I17" s="18" t="s">
        <v>28</v>
      </c>
      <c r="J17" s="16" t="s">
        <v>29</v>
      </c>
      <c r="K17" s="16" t="s">
        <v>30</v>
      </c>
      <c r="L17" s="16" t="s">
        <v>31</v>
      </c>
      <c r="M17" s="92" t="s">
        <v>32</v>
      </c>
      <c r="N17" s="93"/>
      <c r="O17" s="94"/>
      <c r="P17" s="92" t="s">
        <v>33</v>
      </c>
      <c r="Q17" s="93"/>
      <c r="R17" s="94"/>
      <c r="S17" s="16" t="s">
        <v>34</v>
      </c>
      <c r="T17" s="16" t="s">
        <v>35</v>
      </c>
      <c r="U17" s="16" t="s">
        <v>36</v>
      </c>
      <c r="V17" s="10" t="s">
        <v>37</v>
      </c>
      <c r="W17" s="7" t="str">
        <f>_xlfn.CONCAT("0x",BIN2HEX(MID(V17,1,4),1),BIN2HEX(MID(V17,6,4),1),BIN2HEX(MID(V17,11,4),1))</f>
        <v>0x000</v>
      </c>
    </row>
    <row r="18" spans="2:23" s="43" customFormat="1" ht="12" thickBot="1" x14ac:dyDescent="0.5">
      <c r="B18" s="40"/>
      <c r="C18" s="40"/>
      <c r="D18" s="40"/>
      <c r="E18" s="40"/>
      <c r="F18" s="40"/>
      <c r="G18" s="40"/>
      <c r="H18" s="40"/>
      <c r="I18" s="40"/>
      <c r="J18" s="41">
        <v>1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2">
        <v>0</v>
      </c>
      <c r="Q18" s="42">
        <v>0</v>
      </c>
      <c r="R18" s="42">
        <v>1</v>
      </c>
      <c r="S18" s="42">
        <v>0</v>
      </c>
      <c r="T18" s="42">
        <v>0</v>
      </c>
      <c r="U18" s="42">
        <v>0</v>
      </c>
      <c r="V18" s="40"/>
      <c r="W18" s="40"/>
    </row>
    <row r="19" spans="2:23" ht="17.5" thickBot="1" x14ac:dyDescent="0.5">
      <c r="B19" s="7" t="s">
        <v>55</v>
      </c>
      <c r="C19" s="20" t="s">
        <v>56</v>
      </c>
      <c r="D19" s="20" t="s">
        <v>26</v>
      </c>
      <c r="E19" s="20" t="s">
        <v>27</v>
      </c>
      <c r="F19" s="18" t="s">
        <v>28</v>
      </c>
      <c r="G19" s="18" t="s">
        <v>28</v>
      </c>
      <c r="H19" s="18" t="s">
        <v>28</v>
      </c>
      <c r="I19" s="18" t="s">
        <v>28</v>
      </c>
      <c r="J19" s="106" t="s">
        <v>57</v>
      </c>
      <c r="K19" s="106"/>
      <c r="L19" s="106"/>
      <c r="M19" s="106" t="s">
        <v>58</v>
      </c>
      <c r="N19" s="106"/>
      <c r="O19" s="107"/>
      <c r="P19" s="99" t="s">
        <v>59</v>
      </c>
      <c r="Q19" s="100"/>
      <c r="R19" s="100"/>
      <c r="S19" s="100"/>
      <c r="T19" s="100"/>
      <c r="U19" s="101"/>
      <c r="V19" s="19" t="s">
        <v>60</v>
      </c>
      <c r="W19" s="11" t="str">
        <f t="shared" ref="W19" si="0">_xlfn.CONCAT("0x",BIN2HEX(MID(V19,1,4),1),BIN2HEX(MID(V19,6,4),1),BIN2HEX(MID(V19,11,4),1))</f>
        <v>0x020</v>
      </c>
    </row>
    <row r="20" spans="2:23" x14ac:dyDescent="0.45">
      <c r="B20" t="s">
        <v>133</v>
      </c>
      <c r="D20" s="31"/>
      <c r="E20" s="31"/>
      <c r="F20" s="34"/>
      <c r="G20" s="34"/>
      <c r="H20" s="34"/>
      <c r="I20" s="34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7"/>
      <c r="W20" s="33"/>
    </row>
    <row r="21" spans="2:23" x14ac:dyDescent="0.45">
      <c r="B21" t="s">
        <v>157</v>
      </c>
      <c r="D21" s="31"/>
      <c r="E21" s="31"/>
      <c r="F21" s="34"/>
      <c r="G21" s="34"/>
      <c r="H21" s="34"/>
      <c r="I21" s="34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7"/>
      <c r="W21" s="33"/>
    </row>
    <row r="22" spans="2:23" x14ac:dyDescent="0.45">
      <c r="B22" t="s">
        <v>330</v>
      </c>
    </row>
    <row r="23" spans="2:23" x14ac:dyDescent="0.45">
      <c r="B23" t="s">
        <v>343</v>
      </c>
    </row>
    <row r="24" spans="2:23" x14ac:dyDescent="0.45">
      <c r="B24" t="s">
        <v>134</v>
      </c>
    </row>
    <row r="25" spans="2:23" x14ac:dyDescent="0.45">
      <c r="B25" s="21" t="s">
        <v>135</v>
      </c>
    </row>
    <row r="28" spans="2:23" x14ac:dyDescent="0.45">
      <c r="B28" t="s">
        <v>136</v>
      </c>
    </row>
    <row r="29" spans="2:23" ht="23" x14ac:dyDescent="0.45">
      <c r="B29" s="1" t="s">
        <v>0</v>
      </c>
      <c r="C29" s="1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  <c r="I29" s="2" t="s">
        <v>7</v>
      </c>
      <c r="J29" s="2" t="s">
        <v>8</v>
      </c>
      <c r="K29" s="2" t="s">
        <v>9</v>
      </c>
      <c r="L29" s="2" t="s">
        <v>10</v>
      </c>
      <c r="M29" s="2" t="s">
        <v>11</v>
      </c>
      <c r="N29" s="1" t="s">
        <v>12</v>
      </c>
      <c r="O29" s="1" t="s">
        <v>13</v>
      </c>
      <c r="P29" s="1" t="s">
        <v>14</v>
      </c>
      <c r="Q29" s="1" t="s">
        <v>15</v>
      </c>
      <c r="R29" s="1" t="s">
        <v>16</v>
      </c>
      <c r="S29" s="1" t="s">
        <v>17</v>
      </c>
      <c r="T29" s="1" t="s">
        <v>18</v>
      </c>
      <c r="U29" s="1" t="s">
        <v>19</v>
      </c>
      <c r="V29" s="2" t="s">
        <v>20</v>
      </c>
      <c r="W29" s="2" t="s">
        <v>21</v>
      </c>
    </row>
    <row r="30" spans="2:23" x14ac:dyDescent="0.45">
      <c r="B30" s="7" t="s">
        <v>24</v>
      </c>
      <c r="C30" s="17" t="s">
        <v>25</v>
      </c>
      <c r="D30" s="17" t="s">
        <v>26</v>
      </c>
      <c r="E30" s="17" t="s">
        <v>27</v>
      </c>
      <c r="F30" s="18" t="s">
        <v>28</v>
      </c>
      <c r="G30" s="18" t="s">
        <v>28</v>
      </c>
      <c r="H30" s="18" t="s">
        <v>28</v>
      </c>
      <c r="I30" s="18" t="s">
        <v>28</v>
      </c>
      <c r="J30" s="16" t="s">
        <v>29</v>
      </c>
      <c r="K30" s="16" t="s">
        <v>30</v>
      </c>
      <c r="L30" s="16" t="s">
        <v>31</v>
      </c>
      <c r="M30" s="92" t="s">
        <v>32</v>
      </c>
      <c r="N30" s="93"/>
      <c r="O30" s="94"/>
      <c r="P30" s="92" t="s">
        <v>33</v>
      </c>
      <c r="Q30" s="93"/>
      <c r="R30" s="94"/>
      <c r="S30" s="16" t="s">
        <v>34</v>
      </c>
      <c r="T30" s="16" t="s">
        <v>35</v>
      </c>
      <c r="U30" s="16" t="s">
        <v>36</v>
      </c>
      <c r="V30" s="10" t="s">
        <v>37</v>
      </c>
      <c r="W30" s="7" t="str">
        <f>_xlfn.CONCAT("0x",BIN2HEX(MID(V30,1,4),1),BIN2HEX(MID(V30,6,4),1),BIN2HEX(MID(V30,11,4),1))</f>
        <v>0x000</v>
      </c>
    </row>
    <row r="31" spans="2:23" s="43" customFormat="1" ht="12" thickBot="1" x14ac:dyDescent="0.5">
      <c r="B31" s="40"/>
      <c r="C31" s="40"/>
      <c r="D31" s="40"/>
      <c r="E31" s="40"/>
      <c r="F31" s="40"/>
      <c r="G31" s="40"/>
      <c r="H31" s="40"/>
      <c r="I31" s="40"/>
      <c r="J31" s="41">
        <v>1</v>
      </c>
      <c r="K31" s="41">
        <v>0</v>
      </c>
      <c r="L31" s="41">
        <v>0</v>
      </c>
      <c r="M31" s="41">
        <v>0</v>
      </c>
      <c r="N31" s="41">
        <v>0</v>
      </c>
      <c r="O31" s="41">
        <v>0</v>
      </c>
      <c r="P31" s="42">
        <v>1</v>
      </c>
      <c r="Q31" s="42">
        <v>0</v>
      </c>
      <c r="R31" s="42">
        <v>1</v>
      </c>
      <c r="S31" s="42">
        <v>0</v>
      </c>
      <c r="T31" s="42">
        <v>0</v>
      </c>
      <c r="U31" s="42">
        <v>0</v>
      </c>
      <c r="V31" s="40"/>
      <c r="W31" s="40"/>
    </row>
    <row r="32" spans="2:23" ht="17.5" thickBot="1" x14ac:dyDescent="0.5">
      <c r="B32" s="7" t="s">
        <v>61</v>
      </c>
      <c r="C32" s="20" t="s">
        <v>62</v>
      </c>
      <c r="D32" s="20" t="s">
        <v>26</v>
      </c>
      <c r="E32" s="20" t="s">
        <v>27</v>
      </c>
      <c r="F32" s="18" t="s">
        <v>28</v>
      </c>
      <c r="G32" s="18" t="s">
        <v>28</v>
      </c>
      <c r="H32" s="18" t="s">
        <v>28</v>
      </c>
      <c r="I32" s="18" t="s">
        <v>28</v>
      </c>
      <c r="J32" s="106" t="s">
        <v>63</v>
      </c>
      <c r="K32" s="106"/>
      <c r="L32" s="116" t="s">
        <v>64</v>
      </c>
      <c r="M32" s="124"/>
      <c r="N32" s="106" t="s">
        <v>65</v>
      </c>
      <c r="O32" s="106"/>
      <c r="P32" s="107"/>
      <c r="Q32" s="99" t="s">
        <v>66</v>
      </c>
      <c r="R32" s="100"/>
      <c r="S32" s="100"/>
      <c r="T32" s="100"/>
      <c r="U32" s="101"/>
      <c r="V32" s="19" t="s">
        <v>67</v>
      </c>
      <c r="W32" s="11" t="str">
        <f t="shared" ref="W32" si="1">_xlfn.CONCAT("0x",BIN2HEX(MID(V32,1,4),1),BIN2HEX(MID(V32,6,4),1),BIN2HEX(MID(V32,11,4),1))</f>
        <v>0x010</v>
      </c>
    </row>
    <row r="33" spans="2:23" x14ac:dyDescent="0.45">
      <c r="B33" t="s">
        <v>133</v>
      </c>
      <c r="C33" s="31"/>
      <c r="D33" s="31"/>
      <c r="E33" s="31"/>
      <c r="F33" s="32"/>
      <c r="G33" s="34"/>
      <c r="H33" s="34"/>
      <c r="I33" s="34"/>
      <c r="J33" s="35"/>
      <c r="K33" s="35"/>
      <c r="L33" s="34"/>
      <c r="M33" s="34"/>
      <c r="N33" s="35"/>
      <c r="O33" s="35"/>
      <c r="P33" s="35"/>
      <c r="Q33" s="36"/>
      <c r="R33" s="36"/>
      <c r="S33" s="36"/>
      <c r="T33" s="36"/>
      <c r="U33" s="36"/>
      <c r="V33" s="37"/>
      <c r="W33" s="33"/>
    </row>
    <row r="34" spans="2:23" x14ac:dyDescent="0.45">
      <c r="B34" t="s">
        <v>344</v>
      </c>
      <c r="E34" s="126"/>
    </row>
    <row r="35" spans="2:23" x14ac:dyDescent="0.45">
      <c r="B35" t="s">
        <v>137</v>
      </c>
    </row>
    <row r="38" spans="2:23" x14ac:dyDescent="0.45">
      <c r="B38" t="s">
        <v>138</v>
      </c>
    </row>
    <row r="39" spans="2:23" ht="23" x14ac:dyDescent="0.45">
      <c r="B39" s="1" t="s">
        <v>0</v>
      </c>
      <c r="C39" s="1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  <c r="N39" s="1" t="s">
        <v>12</v>
      </c>
      <c r="O39" s="1" t="s">
        <v>13</v>
      </c>
      <c r="P39" s="1" t="s">
        <v>14</v>
      </c>
      <c r="Q39" s="1" t="s">
        <v>15</v>
      </c>
      <c r="R39" s="1" t="s">
        <v>16</v>
      </c>
      <c r="S39" s="1" t="s">
        <v>17</v>
      </c>
      <c r="T39" s="1" t="s">
        <v>18</v>
      </c>
      <c r="U39" s="1" t="s">
        <v>19</v>
      </c>
      <c r="V39" s="2" t="s">
        <v>20</v>
      </c>
      <c r="W39" s="2" t="s">
        <v>21</v>
      </c>
    </row>
    <row r="40" spans="2:23" x14ac:dyDescent="0.45">
      <c r="B40" s="7" t="s">
        <v>24</v>
      </c>
      <c r="C40" s="17" t="s">
        <v>25</v>
      </c>
      <c r="D40" s="17" t="s">
        <v>26</v>
      </c>
      <c r="E40" s="17" t="s">
        <v>27</v>
      </c>
      <c r="F40" s="18" t="s">
        <v>28</v>
      </c>
      <c r="G40" s="18" t="s">
        <v>28</v>
      </c>
      <c r="H40" s="18" t="s">
        <v>28</v>
      </c>
      <c r="I40" s="18" t="s">
        <v>28</v>
      </c>
      <c r="J40" s="16" t="s">
        <v>29</v>
      </c>
      <c r="K40" s="16" t="s">
        <v>30</v>
      </c>
      <c r="L40" s="16" t="s">
        <v>31</v>
      </c>
      <c r="M40" s="92" t="s">
        <v>32</v>
      </c>
      <c r="N40" s="93"/>
      <c r="O40" s="94"/>
      <c r="P40" s="92" t="s">
        <v>33</v>
      </c>
      <c r="Q40" s="93"/>
      <c r="R40" s="94"/>
      <c r="S40" s="16" t="s">
        <v>34</v>
      </c>
      <c r="T40" s="16" t="s">
        <v>35</v>
      </c>
      <c r="U40" s="16" t="s">
        <v>36</v>
      </c>
      <c r="V40" s="10" t="s">
        <v>37</v>
      </c>
      <c r="W40" s="7" t="str">
        <f>_xlfn.CONCAT("0x",BIN2HEX(MID(V40,1,4),1),BIN2HEX(MID(V40,6,4),1),BIN2HEX(MID(V40,11,4),1))</f>
        <v>0x000</v>
      </c>
    </row>
    <row r="41" spans="2:23" s="43" customFormat="1" ht="12" thickBot="1" x14ac:dyDescent="0.5">
      <c r="B41" s="40"/>
      <c r="C41" s="40"/>
      <c r="D41" s="40"/>
      <c r="E41" s="40"/>
      <c r="F41" s="40"/>
      <c r="G41" s="40"/>
      <c r="H41" s="40"/>
      <c r="I41" s="40"/>
      <c r="J41" s="41">
        <v>1</v>
      </c>
      <c r="K41" s="41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0"/>
      <c r="W41" s="40"/>
    </row>
    <row r="42" spans="2:23" ht="17.5" thickBot="1" x14ac:dyDescent="0.5">
      <c r="B42" s="7" t="s">
        <v>68</v>
      </c>
      <c r="C42" s="20" t="s">
        <v>69</v>
      </c>
      <c r="D42" s="20" t="s">
        <v>26</v>
      </c>
      <c r="E42" s="20" t="s">
        <v>27</v>
      </c>
      <c r="F42" s="18" t="s">
        <v>28</v>
      </c>
      <c r="G42" s="18" t="s">
        <v>28</v>
      </c>
      <c r="H42" s="18" t="s">
        <v>28</v>
      </c>
      <c r="I42" s="18" t="s">
        <v>28</v>
      </c>
      <c r="J42" s="38" t="s">
        <v>70</v>
      </c>
      <c r="K42" s="39" t="s">
        <v>70</v>
      </c>
      <c r="L42" s="121" t="s">
        <v>71</v>
      </c>
      <c r="M42" s="122"/>
      <c r="N42" s="122"/>
      <c r="O42" s="122"/>
      <c r="P42" s="122"/>
      <c r="Q42" s="123"/>
      <c r="R42" s="109" t="s">
        <v>72</v>
      </c>
      <c r="S42" s="109"/>
      <c r="T42" s="109"/>
      <c r="U42" s="110"/>
      <c r="V42" s="12" t="s">
        <v>73</v>
      </c>
      <c r="W42" s="11" t="str">
        <f t="shared" ref="W42" si="2">_xlfn.CONCAT("0x",BIN2HEX(MID(V42,1,4),1),BIN2HEX(MID(V42,6,4),1),BIN2HEX(MID(V42,11,4),1))</f>
        <v>0x208</v>
      </c>
    </row>
    <row r="43" spans="2:23" x14ac:dyDescent="0.45">
      <c r="B43" t="s">
        <v>133</v>
      </c>
    </row>
    <row r="44" spans="2:23" x14ac:dyDescent="0.45">
      <c r="B44" t="s">
        <v>158</v>
      </c>
    </row>
    <row r="45" spans="2:23" x14ac:dyDescent="0.45">
      <c r="B45" t="s">
        <v>331</v>
      </c>
    </row>
    <row r="48" spans="2:23" x14ac:dyDescent="0.45">
      <c r="B48" t="s">
        <v>155</v>
      </c>
    </row>
    <row r="49" spans="2:23" ht="23" x14ac:dyDescent="0.45">
      <c r="B49" s="1" t="s">
        <v>0</v>
      </c>
      <c r="C49" s="1" t="s">
        <v>1</v>
      </c>
      <c r="D49" s="2" t="s">
        <v>2</v>
      </c>
      <c r="E49" s="2" t="s">
        <v>3</v>
      </c>
      <c r="F49" s="2" t="s">
        <v>4</v>
      </c>
      <c r="G49" s="2" t="s">
        <v>5</v>
      </c>
      <c r="H49" s="2" t="s">
        <v>6</v>
      </c>
      <c r="I49" s="2" t="s">
        <v>7</v>
      </c>
      <c r="J49" s="2" t="s">
        <v>8</v>
      </c>
      <c r="K49" s="2" t="s">
        <v>9</v>
      </c>
      <c r="L49" s="2" t="s">
        <v>10</v>
      </c>
      <c r="M49" s="2" t="s">
        <v>11</v>
      </c>
      <c r="N49" s="1" t="s">
        <v>12</v>
      </c>
      <c r="O49" s="1" t="s">
        <v>13</v>
      </c>
      <c r="P49" s="1" t="s">
        <v>14</v>
      </c>
      <c r="Q49" s="1" t="s">
        <v>15</v>
      </c>
      <c r="R49" s="1" t="s">
        <v>16</v>
      </c>
      <c r="S49" s="1" t="s">
        <v>17</v>
      </c>
      <c r="T49" s="1" t="s">
        <v>18</v>
      </c>
      <c r="U49" s="1" t="s">
        <v>19</v>
      </c>
      <c r="V49" s="2" t="s">
        <v>20</v>
      </c>
      <c r="W49" s="2" t="s">
        <v>21</v>
      </c>
    </row>
    <row r="50" spans="2:23" x14ac:dyDescent="0.45">
      <c r="B50" s="7" t="s">
        <v>24</v>
      </c>
      <c r="C50" s="17" t="s">
        <v>25</v>
      </c>
      <c r="D50" s="17" t="s">
        <v>26</v>
      </c>
      <c r="E50" s="17" t="s">
        <v>27</v>
      </c>
      <c r="F50" s="18" t="s">
        <v>28</v>
      </c>
      <c r="G50" s="18" t="s">
        <v>28</v>
      </c>
      <c r="H50" s="18" t="s">
        <v>28</v>
      </c>
      <c r="I50" s="18" t="s">
        <v>28</v>
      </c>
      <c r="J50" s="16" t="s">
        <v>29</v>
      </c>
      <c r="K50" s="16" t="s">
        <v>30</v>
      </c>
      <c r="L50" s="16" t="s">
        <v>31</v>
      </c>
      <c r="M50" s="92" t="s">
        <v>32</v>
      </c>
      <c r="N50" s="93"/>
      <c r="O50" s="94"/>
      <c r="P50" s="92" t="s">
        <v>33</v>
      </c>
      <c r="Q50" s="93"/>
      <c r="R50" s="94"/>
      <c r="S50" s="16" t="s">
        <v>34</v>
      </c>
      <c r="T50" s="16" t="s">
        <v>35</v>
      </c>
      <c r="U50" s="16" t="s">
        <v>36</v>
      </c>
      <c r="V50" s="10" t="s">
        <v>37</v>
      </c>
      <c r="W50" s="7" t="str">
        <f>_xlfn.CONCAT("0x",BIN2HEX(MID(V50,1,4),1),BIN2HEX(MID(V50,6,4),1),BIN2HEX(MID(V50,11,4),1))</f>
        <v>0x000</v>
      </c>
    </row>
    <row r="51" spans="2:23" s="43" customFormat="1" ht="12" thickBot="1" x14ac:dyDescent="0.5">
      <c r="B51" s="40"/>
      <c r="C51" s="40"/>
      <c r="D51" s="40"/>
      <c r="E51" s="40"/>
      <c r="F51" s="40"/>
      <c r="G51" s="40"/>
      <c r="H51" s="40"/>
      <c r="I51" s="40"/>
      <c r="J51" s="41">
        <v>1</v>
      </c>
      <c r="K51" s="41">
        <v>0</v>
      </c>
      <c r="L51" s="41">
        <v>0</v>
      </c>
      <c r="M51" s="41">
        <v>0</v>
      </c>
      <c r="N51" s="42">
        <v>0</v>
      </c>
      <c r="O51" s="42">
        <v>0</v>
      </c>
      <c r="P51" s="42">
        <v>1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0"/>
      <c r="W51" s="40"/>
    </row>
    <row r="52" spans="2:23" ht="17.5" thickBot="1" x14ac:dyDescent="0.5">
      <c r="B52" s="7" t="s">
        <v>61</v>
      </c>
      <c r="C52" s="20" t="s">
        <v>62</v>
      </c>
      <c r="D52" s="20" t="s">
        <v>26</v>
      </c>
      <c r="E52" s="20" t="s">
        <v>27</v>
      </c>
      <c r="F52" s="18" t="s">
        <v>28</v>
      </c>
      <c r="G52" s="18" t="s">
        <v>28</v>
      </c>
      <c r="H52" s="18" t="s">
        <v>28</v>
      </c>
      <c r="I52" s="18" t="s">
        <v>28</v>
      </c>
      <c r="J52" s="106" t="s">
        <v>63</v>
      </c>
      <c r="K52" s="106"/>
      <c r="L52" s="116" t="s">
        <v>64</v>
      </c>
      <c r="M52" s="117"/>
      <c r="N52" s="99" t="s">
        <v>65</v>
      </c>
      <c r="O52" s="100"/>
      <c r="P52" s="101"/>
      <c r="Q52" s="115" t="s">
        <v>66</v>
      </c>
      <c r="R52" s="108"/>
      <c r="S52" s="108"/>
      <c r="T52" s="108"/>
      <c r="U52" s="108"/>
      <c r="V52" s="19" t="s">
        <v>67</v>
      </c>
      <c r="W52" s="11" t="str">
        <f t="shared" ref="W52" si="3">_xlfn.CONCAT("0x",BIN2HEX(MID(V52,1,4),1),BIN2HEX(MID(V52,6,4),1),BIN2HEX(MID(V52,11,4),1))</f>
        <v>0x010</v>
      </c>
    </row>
    <row r="53" spans="2:23" x14ac:dyDescent="0.45">
      <c r="B53" t="s">
        <v>133</v>
      </c>
    </row>
    <row r="54" spans="2:23" x14ac:dyDescent="0.45">
      <c r="B54" t="s">
        <v>159</v>
      </c>
    </row>
    <row r="55" spans="2:23" x14ac:dyDescent="0.45">
      <c r="B55" t="s">
        <v>345</v>
      </c>
    </row>
    <row r="57" spans="2:23" x14ac:dyDescent="0.45">
      <c r="B57" t="s">
        <v>156</v>
      </c>
    </row>
    <row r="58" spans="2:23" ht="23" x14ac:dyDescent="0.45">
      <c r="B58" s="1" t="s">
        <v>0</v>
      </c>
      <c r="C58" s="1" t="s">
        <v>1</v>
      </c>
      <c r="D58" s="2" t="s">
        <v>2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1" t="s">
        <v>12</v>
      </c>
      <c r="O58" s="1" t="s">
        <v>13</v>
      </c>
      <c r="P58" s="1" t="s">
        <v>14</v>
      </c>
      <c r="Q58" s="1" t="s">
        <v>15</v>
      </c>
      <c r="R58" s="1" t="s">
        <v>16</v>
      </c>
      <c r="S58" s="1" t="s">
        <v>17</v>
      </c>
      <c r="T58" s="1" t="s">
        <v>18</v>
      </c>
      <c r="U58" s="1" t="s">
        <v>19</v>
      </c>
      <c r="V58" s="2" t="s">
        <v>20</v>
      </c>
      <c r="W58" s="2" t="s">
        <v>21</v>
      </c>
    </row>
    <row r="59" spans="2:23" x14ac:dyDescent="0.45">
      <c r="B59" s="7" t="s">
        <v>24</v>
      </c>
      <c r="C59" s="17" t="s">
        <v>25</v>
      </c>
      <c r="D59" s="17" t="s">
        <v>26</v>
      </c>
      <c r="E59" s="17" t="s">
        <v>27</v>
      </c>
      <c r="F59" s="18" t="s">
        <v>28</v>
      </c>
      <c r="G59" s="18" t="s">
        <v>28</v>
      </c>
      <c r="H59" s="18" t="s">
        <v>28</v>
      </c>
      <c r="I59" s="18" t="s">
        <v>28</v>
      </c>
      <c r="J59" s="16" t="s">
        <v>29</v>
      </c>
      <c r="K59" s="16" t="s">
        <v>30</v>
      </c>
      <c r="L59" s="16" t="s">
        <v>31</v>
      </c>
      <c r="M59" s="92" t="s">
        <v>32</v>
      </c>
      <c r="N59" s="93"/>
      <c r="O59" s="94"/>
      <c r="P59" s="92" t="s">
        <v>33</v>
      </c>
      <c r="Q59" s="93"/>
      <c r="R59" s="94"/>
      <c r="S59" s="16" t="s">
        <v>34</v>
      </c>
      <c r="T59" s="16" t="s">
        <v>35</v>
      </c>
      <c r="U59" s="16" t="s">
        <v>36</v>
      </c>
      <c r="V59" s="10" t="s">
        <v>37</v>
      </c>
      <c r="W59" s="7" t="str">
        <f>_xlfn.CONCAT("0x",BIN2HEX(MID(V59,1,4),1),BIN2HEX(MID(V59,6,4),1),BIN2HEX(MID(V59,11,4),1))</f>
        <v>0x000</v>
      </c>
    </row>
    <row r="60" spans="2:23" s="43" customFormat="1" ht="12" thickBot="1" x14ac:dyDescent="0.5">
      <c r="B60" s="40"/>
      <c r="C60" s="40"/>
      <c r="D60" s="40"/>
      <c r="E60" s="40"/>
      <c r="F60" s="40"/>
      <c r="G60" s="40"/>
      <c r="H60" s="40"/>
      <c r="I60" s="40"/>
      <c r="J60" s="42">
        <v>1</v>
      </c>
      <c r="K60" s="42">
        <v>1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0"/>
      <c r="W60" s="40"/>
    </row>
    <row r="61" spans="2:23" ht="17.5" thickBot="1" x14ac:dyDescent="0.5">
      <c r="B61" s="7" t="s">
        <v>74</v>
      </c>
      <c r="C61" s="20" t="s">
        <v>75</v>
      </c>
      <c r="D61" s="20" t="s">
        <v>26</v>
      </c>
      <c r="E61" s="20" t="s">
        <v>27</v>
      </c>
      <c r="F61" s="18" t="s">
        <v>28</v>
      </c>
      <c r="G61" s="18" t="s">
        <v>28</v>
      </c>
      <c r="H61" s="18" t="s">
        <v>28</v>
      </c>
      <c r="I61" s="45" t="s">
        <v>28</v>
      </c>
      <c r="J61" s="99" t="s">
        <v>76</v>
      </c>
      <c r="K61" s="100"/>
      <c r="L61" s="100"/>
      <c r="M61" s="100"/>
      <c r="N61" s="100"/>
      <c r="O61" s="100"/>
      <c r="P61" s="100"/>
      <c r="Q61" s="101"/>
      <c r="R61" s="109" t="s">
        <v>77</v>
      </c>
      <c r="S61" s="109"/>
      <c r="T61" s="109"/>
      <c r="U61" s="110"/>
      <c r="V61" s="12" t="s">
        <v>78</v>
      </c>
      <c r="W61" s="11" t="str">
        <f t="shared" ref="W61" si="4">_xlfn.CONCAT("0x",BIN2HEX(MID(V61,1,4),1),BIN2HEX(MID(V61,6,4),1),BIN2HEX(MID(V61,11,4),1))</f>
        <v>0x008</v>
      </c>
    </row>
    <row r="62" spans="2:23" x14ac:dyDescent="0.45">
      <c r="B62" t="s">
        <v>133</v>
      </c>
    </row>
    <row r="63" spans="2:23" x14ac:dyDescent="0.45">
      <c r="B63" t="s">
        <v>160</v>
      </c>
    </row>
    <row r="64" spans="2:23" x14ac:dyDescent="0.45">
      <c r="B64" t="s">
        <v>346</v>
      </c>
    </row>
    <row r="67" spans="2:23" x14ac:dyDescent="0.45">
      <c r="B67" t="s">
        <v>163</v>
      </c>
    </row>
    <row r="68" spans="2:23" ht="23" x14ac:dyDescent="0.45">
      <c r="B68" s="1" t="s">
        <v>0</v>
      </c>
      <c r="C68" s="1" t="s">
        <v>1</v>
      </c>
      <c r="D68" s="2" t="s">
        <v>2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8</v>
      </c>
      <c r="K68" s="2" t="s">
        <v>9</v>
      </c>
      <c r="L68" s="2" t="s">
        <v>10</v>
      </c>
      <c r="M68" s="2" t="s">
        <v>11</v>
      </c>
      <c r="N68" s="1" t="s">
        <v>12</v>
      </c>
      <c r="O68" s="1" t="s">
        <v>13</v>
      </c>
      <c r="P68" s="1" t="s">
        <v>14</v>
      </c>
      <c r="Q68" s="1" t="s">
        <v>15</v>
      </c>
      <c r="R68" s="1" t="s">
        <v>16</v>
      </c>
      <c r="S68" s="1" t="s">
        <v>17</v>
      </c>
      <c r="T68" s="1" t="s">
        <v>18</v>
      </c>
      <c r="U68" s="1" t="s">
        <v>19</v>
      </c>
      <c r="V68" s="2" t="s">
        <v>20</v>
      </c>
      <c r="W68" s="2" t="s">
        <v>21</v>
      </c>
    </row>
    <row r="69" spans="2:23" s="15" customFormat="1" ht="14.5" x14ac:dyDescent="0.45">
      <c r="B69" s="7" t="s">
        <v>24</v>
      </c>
      <c r="C69" s="17" t="s">
        <v>25</v>
      </c>
      <c r="D69" s="17" t="s">
        <v>26</v>
      </c>
      <c r="E69" s="17" t="s">
        <v>27</v>
      </c>
      <c r="F69" s="18" t="s">
        <v>28</v>
      </c>
      <c r="G69" s="18" t="s">
        <v>28</v>
      </c>
      <c r="H69" s="18" t="s">
        <v>28</v>
      </c>
      <c r="I69" s="18" t="s">
        <v>28</v>
      </c>
      <c r="J69" s="16" t="s">
        <v>29</v>
      </c>
      <c r="K69" s="16" t="s">
        <v>30</v>
      </c>
      <c r="L69" s="16" t="s">
        <v>31</v>
      </c>
      <c r="M69" s="92" t="s">
        <v>32</v>
      </c>
      <c r="N69" s="93"/>
      <c r="O69" s="94"/>
      <c r="P69" s="92" t="s">
        <v>33</v>
      </c>
      <c r="Q69" s="93"/>
      <c r="R69" s="94"/>
      <c r="S69" s="16" t="s">
        <v>34</v>
      </c>
      <c r="T69" s="16" t="s">
        <v>35</v>
      </c>
      <c r="U69" s="16" t="s">
        <v>36</v>
      </c>
      <c r="V69" s="10" t="s">
        <v>37</v>
      </c>
      <c r="W69" s="7" t="str">
        <f>_xlfn.CONCAT("0x",BIN2HEX(MID(V69,1,4),1),BIN2HEX(MID(V69,6,4),1),BIN2HEX(MID(V69,11,4),1))</f>
        <v>0x000</v>
      </c>
    </row>
    <row r="70" spans="2:23" s="43" customFormat="1" ht="12" thickBot="1" x14ac:dyDescent="0.5">
      <c r="B70" s="40"/>
      <c r="C70" s="40"/>
      <c r="D70" s="40"/>
      <c r="E70" s="40"/>
      <c r="F70" s="40"/>
      <c r="G70" s="40"/>
      <c r="H70" s="40"/>
      <c r="I70" s="40"/>
      <c r="J70" s="42">
        <v>1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1</v>
      </c>
      <c r="R70" s="42">
        <v>1</v>
      </c>
      <c r="S70" s="42">
        <v>0</v>
      </c>
      <c r="T70" s="42">
        <v>0</v>
      </c>
      <c r="U70" s="42">
        <v>0</v>
      </c>
      <c r="V70" s="40"/>
      <c r="W70" s="40"/>
    </row>
    <row r="71" spans="2:23" ht="17.5" thickBot="1" x14ac:dyDescent="0.5">
      <c r="B71" s="7" t="s">
        <v>55</v>
      </c>
      <c r="C71" s="20" t="s">
        <v>56</v>
      </c>
      <c r="D71" s="20" t="s">
        <v>26</v>
      </c>
      <c r="E71" s="20" t="s">
        <v>27</v>
      </c>
      <c r="F71" s="18" t="s">
        <v>28</v>
      </c>
      <c r="G71" s="18" t="s">
        <v>28</v>
      </c>
      <c r="H71" s="18" t="s">
        <v>28</v>
      </c>
      <c r="I71" s="45" t="s">
        <v>28</v>
      </c>
      <c r="J71" s="111" t="s">
        <v>57</v>
      </c>
      <c r="K71" s="112"/>
      <c r="L71" s="113"/>
      <c r="M71" s="111" t="s">
        <v>58</v>
      </c>
      <c r="N71" s="112"/>
      <c r="O71" s="114"/>
      <c r="P71" s="115" t="s">
        <v>59</v>
      </c>
      <c r="Q71" s="108"/>
      <c r="R71" s="108"/>
      <c r="S71" s="108"/>
      <c r="T71" s="108"/>
      <c r="U71" s="108"/>
      <c r="V71" s="19" t="s">
        <v>60</v>
      </c>
      <c r="W71" s="11" t="str">
        <f t="shared" ref="W71" si="5">_xlfn.CONCAT("0x",BIN2HEX(MID(V71,1,4),1),BIN2HEX(MID(V71,6,4),1),BIN2HEX(MID(V71,11,4),1))</f>
        <v>0x020</v>
      </c>
    </row>
    <row r="72" spans="2:23" x14ac:dyDescent="0.45">
      <c r="B72" t="s">
        <v>133</v>
      </c>
    </row>
    <row r="73" spans="2:23" x14ac:dyDescent="0.45">
      <c r="B73" t="s">
        <v>161</v>
      </c>
    </row>
    <row r="74" spans="2:23" x14ac:dyDescent="0.45">
      <c r="B74" t="s">
        <v>347</v>
      </c>
    </row>
    <row r="75" spans="2:23" x14ac:dyDescent="0.45">
      <c r="B75" t="s">
        <v>162</v>
      </c>
    </row>
    <row r="77" spans="2:23" x14ac:dyDescent="0.45">
      <c r="B77" t="s">
        <v>164</v>
      </c>
    </row>
    <row r="78" spans="2:23" ht="23" x14ac:dyDescent="0.45">
      <c r="B78" s="1" t="s">
        <v>0</v>
      </c>
      <c r="C78" s="1" t="s">
        <v>1</v>
      </c>
      <c r="D78" s="2" t="s">
        <v>2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8</v>
      </c>
      <c r="K78" s="2" t="s">
        <v>9</v>
      </c>
      <c r="L78" s="2" t="s">
        <v>10</v>
      </c>
      <c r="M78" s="2" t="s">
        <v>11</v>
      </c>
      <c r="N78" s="1" t="s">
        <v>12</v>
      </c>
      <c r="O78" s="1" t="s">
        <v>13</v>
      </c>
      <c r="P78" s="1" t="s">
        <v>14</v>
      </c>
      <c r="Q78" s="1" t="s">
        <v>15</v>
      </c>
      <c r="R78" s="1" t="s">
        <v>16</v>
      </c>
      <c r="S78" s="1" t="s">
        <v>17</v>
      </c>
      <c r="T78" s="1" t="s">
        <v>18</v>
      </c>
      <c r="U78" s="1" t="s">
        <v>19</v>
      </c>
      <c r="V78" s="2" t="s">
        <v>20</v>
      </c>
      <c r="W78" s="2" t="s">
        <v>21</v>
      </c>
    </row>
    <row r="79" spans="2:23" s="15" customFormat="1" ht="14.5" x14ac:dyDescent="0.45">
      <c r="B79" s="7" t="s">
        <v>24</v>
      </c>
      <c r="C79" s="17" t="s">
        <v>25</v>
      </c>
      <c r="D79" s="17" t="s">
        <v>26</v>
      </c>
      <c r="E79" s="17" t="s">
        <v>27</v>
      </c>
      <c r="F79" s="18" t="s">
        <v>28</v>
      </c>
      <c r="G79" s="18" t="s">
        <v>28</v>
      </c>
      <c r="H79" s="18" t="s">
        <v>28</v>
      </c>
      <c r="I79" s="18" t="s">
        <v>28</v>
      </c>
      <c r="J79" s="16" t="s">
        <v>29</v>
      </c>
      <c r="K79" s="16" t="s">
        <v>30</v>
      </c>
      <c r="L79" s="16" t="s">
        <v>31</v>
      </c>
      <c r="M79" s="92" t="s">
        <v>32</v>
      </c>
      <c r="N79" s="93"/>
      <c r="O79" s="94"/>
      <c r="P79" s="92" t="s">
        <v>33</v>
      </c>
      <c r="Q79" s="93"/>
      <c r="R79" s="94"/>
      <c r="S79" s="16" t="s">
        <v>34</v>
      </c>
      <c r="T79" s="16" t="s">
        <v>35</v>
      </c>
      <c r="U79" s="16" t="s">
        <v>36</v>
      </c>
      <c r="V79" s="10" t="s">
        <v>37</v>
      </c>
      <c r="W79" s="7" t="str">
        <f>_xlfn.CONCAT("0x",BIN2HEX(MID(V79,1,4),1),BIN2HEX(MID(V79,6,4),1),BIN2HEX(MID(V79,11,4),1))</f>
        <v>0x000</v>
      </c>
    </row>
    <row r="80" spans="2:23" s="43" customFormat="1" ht="12" thickBot="1" x14ac:dyDescent="0.5">
      <c r="B80" s="40"/>
      <c r="C80" s="40"/>
      <c r="D80" s="40"/>
      <c r="E80" s="40"/>
      <c r="F80" s="40"/>
      <c r="G80" s="40"/>
      <c r="H80" s="40"/>
      <c r="I80" s="40"/>
      <c r="J80" s="42">
        <v>1</v>
      </c>
      <c r="K80" s="42">
        <v>0</v>
      </c>
      <c r="L80" s="42">
        <v>0</v>
      </c>
      <c r="M80" s="42">
        <v>0</v>
      </c>
      <c r="N80" s="42">
        <v>0</v>
      </c>
      <c r="O80" s="42">
        <v>0</v>
      </c>
      <c r="P80" s="42">
        <v>0</v>
      </c>
      <c r="Q80" s="42">
        <v>1</v>
      </c>
      <c r="R80" s="42">
        <v>1</v>
      </c>
      <c r="S80" s="42">
        <v>0</v>
      </c>
      <c r="T80" s="42">
        <v>0</v>
      </c>
      <c r="U80" s="42">
        <v>0</v>
      </c>
      <c r="V80" s="40"/>
      <c r="W80" s="40"/>
    </row>
    <row r="81" spans="2:23" ht="17.5" thickBot="1" x14ac:dyDescent="0.5">
      <c r="B81" s="7" t="s">
        <v>61</v>
      </c>
      <c r="C81" s="20" t="s">
        <v>62</v>
      </c>
      <c r="D81" s="20" t="s">
        <v>26</v>
      </c>
      <c r="E81" s="20" t="s">
        <v>27</v>
      </c>
      <c r="F81" s="18" t="s">
        <v>28</v>
      </c>
      <c r="G81" s="18" t="s">
        <v>28</v>
      </c>
      <c r="H81" s="18" t="s">
        <v>28</v>
      </c>
      <c r="I81" s="45" t="s">
        <v>28</v>
      </c>
      <c r="J81" s="99" t="s">
        <v>63</v>
      </c>
      <c r="K81" s="101"/>
      <c r="L81" s="103" t="s">
        <v>64</v>
      </c>
      <c r="M81" s="104"/>
      <c r="N81" s="105" t="s">
        <v>65</v>
      </c>
      <c r="O81" s="106"/>
      <c r="P81" s="107"/>
      <c r="Q81" s="108" t="s">
        <v>66</v>
      </c>
      <c r="R81" s="108"/>
      <c r="S81" s="108"/>
      <c r="T81" s="108"/>
      <c r="U81" s="108"/>
      <c r="V81" s="19" t="s">
        <v>67</v>
      </c>
      <c r="W81" s="11" t="str">
        <f t="shared" ref="W81" si="6">_xlfn.CONCAT("0x",BIN2HEX(MID(V81,1,4),1),BIN2HEX(MID(V81,6,4),1),BIN2HEX(MID(V81,11,4),1))</f>
        <v>0x010</v>
      </c>
    </row>
    <row r="82" spans="2:23" x14ac:dyDescent="0.45">
      <c r="B82" t="s">
        <v>133</v>
      </c>
    </row>
    <row r="83" spans="2:23" x14ac:dyDescent="0.45">
      <c r="B83" t="s">
        <v>161</v>
      </c>
    </row>
    <row r="84" spans="2:23" x14ac:dyDescent="0.45">
      <c r="B84" t="s">
        <v>333</v>
      </c>
      <c r="K84" t="s">
        <v>332</v>
      </c>
    </row>
    <row r="85" spans="2:23" x14ac:dyDescent="0.45">
      <c r="B85" t="s">
        <v>348</v>
      </c>
    </row>
    <row r="88" spans="2:23" x14ac:dyDescent="0.45">
      <c r="B88" t="s">
        <v>311</v>
      </c>
    </row>
    <row r="89" spans="2:23" ht="23" x14ac:dyDescent="0.45">
      <c r="B89" s="1" t="s">
        <v>0</v>
      </c>
      <c r="C89" s="1" t="s">
        <v>1</v>
      </c>
      <c r="D89" s="2" t="s">
        <v>2</v>
      </c>
      <c r="E89" s="2" t="s">
        <v>3</v>
      </c>
      <c r="F89" s="2" t="s">
        <v>4</v>
      </c>
      <c r="G89" s="2" t="s">
        <v>5</v>
      </c>
      <c r="H89" s="2" t="s">
        <v>6</v>
      </c>
      <c r="I89" s="2" t="s">
        <v>7</v>
      </c>
      <c r="J89" s="2" t="s">
        <v>8</v>
      </c>
      <c r="K89" s="2" t="s">
        <v>9</v>
      </c>
      <c r="L89" s="2" t="s">
        <v>10</v>
      </c>
      <c r="M89" s="2" t="s">
        <v>11</v>
      </c>
      <c r="N89" s="1" t="s">
        <v>12</v>
      </c>
      <c r="O89" s="1" t="s">
        <v>13</v>
      </c>
      <c r="P89" s="1" t="s">
        <v>14</v>
      </c>
      <c r="Q89" s="1" t="s">
        <v>15</v>
      </c>
      <c r="R89" s="1" t="s">
        <v>16</v>
      </c>
      <c r="S89" s="1" t="s">
        <v>17</v>
      </c>
      <c r="T89" s="1" t="s">
        <v>18</v>
      </c>
      <c r="U89" s="1" t="s">
        <v>19</v>
      </c>
      <c r="V89" s="2" t="s">
        <v>20</v>
      </c>
      <c r="W89" s="2" t="s">
        <v>21</v>
      </c>
    </row>
    <row r="90" spans="2:23" s="15" customFormat="1" ht="14.5" x14ac:dyDescent="0.45">
      <c r="B90" s="7" t="s">
        <v>24</v>
      </c>
      <c r="C90" s="17" t="s">
        <v>25</v>
      </c>
      <c r="D90" s="17" t="s">
        <v>26</v>
      </c>
      <c r="E90" s="17" t="s">
        <v>27</v>
      </c>
      <c r="F90" s="18" t="s">
        <v>28</v>
      </c>
      <c r="G90" s="18" t="s">
        <v>28</v>
      </c>
      <c r="H90" s="18" t="s">
        <v>28</v>
      </c>
      <c r="I90" s="18" t="s">
        <v>28</v>
      </c>
      <c r="J90" s="16" t="s">
        <v>29</v>
      </c>
      <c r="K90" s="16" t="s">
        <v>30</v>
      </c>
      <c r="L90" s="16" t="s">
        <v>31</v>
      </c>
      <c r="M90" s="92" t="s">
        <v>32</v>
      </c>
      <c r="N90" s="93"/>
      <c r="O90" s="94"/>
      <c r="P90" s="92" t="s">
        <v>33</v>
      </c>
      <c r="Q90" s="93"/>
      <c r="R90" s="94"/>
      <c r="S90" s="16" t="s">
        <v>34</v>
      </c>
      <c r="T90" s="16" t="s">
        <v>35</v>
      </c>
      <c r="U90" s="16" t="s">
        <v>36</v>
      </c>
      <c r="V90" s="10" t="s">
        <v>37</v>
      </c>
      <c r="W90" s="7" t="str">
        <f>_xlfn.CONCAT("0x",BIN2HEX(MID(V90,1,4),1),BIN2HEX(MID(V90,6,4),1),BIN2HEX(MID(V90,11,4),1))</f>
        <v>0x000</v>
      </c>
    </row>
    <row r="91" spans="2:23" s="43" customFormat="1" ht="11.5" x14ac:dyDescent="0.45">
      <c r="B91" s="40"/>
      <c r="C91" s="40"/>
      <c r="D91" s="40"/>
      <c r="E91" s="40"/>
      <c r="F91" s="40"/>
      <c r="G91" s="40"/>
      <c r="H91" s="40"/>
      <c r="I91" s="40"/>
      <c r="J91" s="42">
        <v>1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1</v>
      </c>
      <c r="R91" s="42">
        <v>1</v>
      </c>
      <c r="S91" s="42">
        <v>0</v>
      </c>
      <c r="T91" s="42">
        <v>0</v>
      </c>
      <c r="U91" s="42">
        <v>0</v>
      </c>
      <c r="V91" s="40"/>
      <c r="W91" s="40"/>
    </row>
    <row r="92" spans="2:23" ht="17.5" customHeight="1" x14ac:dyDescent="0.45">
      <c r="B92" s="7" t="s">
        <v>214</v>
      </c>
      <c r="C92" s="17" t="s">
        <v>215</v>
      </c>
      <c r="D92" s="17" t="s">
        <v>176</v>
      </c>
      <c r="E92" s="17" t="s">
        <v>204</v>
      </c>
      <c r="F92" s="18" t="s">
        <v>28</v>
      </c>
      <c r="G92" s="18" t="s">
        <v>28</v>
      </c>
      <c r="H92" s="18" t="s">
        <v>28</v>
      </c>
      <c r="I92" s="18" t="s">
        <v>28</v>
      </c>
      <c r="J92" s="38" t="s">
        <v>81</v>
      </c>
      <c r="K92" s="38" t="s">
        <v>81</v>
      </c>
      <c r="L92" s="38" t="s">
        <v>81</v>
      </c>
      <c r="M92" s="38" t="s">
        <v>81</v>
      </c>
      <c r="N92" s="38" t="s">
        <v>81</v>
      </c>
      <c r="O92" s="16" t="s">
        <v>216</v>
      </c>
      <c r="P92" s="16" t="s">
        <v>217</v>
      </c>
      <c r="Q92" s="16" t="s">
        <v>218</v>
      </c>
      <c r="R92" s="102" t="s">
        <v>219</v>
      </c>
      <c r="S92" s="102"/>
      <c r="T92" s="102" t="s">
        <v>220</v>
      </c>
      <c r="U92" s="102"/>
      <c r="V92" s="51" t="s">
        <v>221</v>
      </c>
      <c r="W92" s="17" t="str">
        <f>_xlfn.CONCAT("0x",BIN2HEX(MID(V92,1,4),1),BIN2HEX(MID(V92,6,4),1),BIN2HEX(MID(V92,11,4),1))</f>
        <v>0x00E</v>
      </c>
    </row>
    <row r="93" spans="2:23" ht="17.5" customHeight="1" thickBot="1" x14ac:dyDescent="0.5">
      <c r="B93" s="40"/>
      <c r="C93" s="40"/>
      <c r="D93" s="40"/>
      <c r="E93" s="40"/>
      <c r="F93" s="40"/>
      <c r="G93" s="40"/>
      <c r="H93" s="40"/>
      <c r="I93" s="40"/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1</v>
      </c>
      <c r="Q93" s="42">
        <v>0</v>
      </c>
      <c r="R93" s="42">
        <v>0</v>
      </c>
      <c r="S93" s="42">
        <v>0</v>
      </c>
      <c r="T93" s="42">
        <v>0</v>
      </c>
      <c r="U93" s="42">
        <v>0</v>
      </c>
      <c r="V93" s="40"/>
      <c r="W93" s="40"/>
    </row>
    <row r="94" spans="2:23" ht="17.5" thickBot="1" x14ac:dyDescent="0.5">
      <c r="B94" s="7" t="s">
        <v>88</v>
      </c>
      <c r="C94" s="20" t="s">
        <v>89</v>
      </c>
      <c r="D94" s="20" t="s">
        <v>26</v>
      </c>
      <c r="E94" s="20" t="s">
        <v>27</v>
      </c>
      <c r="F94" s="18" t="s">
        <v>28</v>
      </c>
      <c r="G94" s="18" t="s">
        <v>28</v>
      </c>
      <c r="H94" s="18" t="s">
        <v>28</v>
      </c>
      <c r="I94" s="18" t="s">
        <v>28</v>
      </c>
      <c r="J94" s="38" t="s">
        <v>70</v>
      </c>
      <c r="K94" s="38" t="s">
        <v>70</v>
      </c>
      <c r="L94" s="38" t="s">
        <v>70</v>
      </c>
      <c r="M94" s="38" t="s">
        <v>70</v>
      </c>
      <c r="N94" s="38" t="s">
        <v>70</v>
      </c>
      <c r="O94" s="38" t="s">
        <v>70</v>
      </c>
      <c r="P94" s="39" t="s">
        <v>70</v>
      </c>
      <c r="Q94" s="99" t="s">
        <v>90</v>
      </c>
      <c r="R94" s="100"/>
      <c r="S94" s="100"/>
      <c r="T94" s="100"/>
      <c r="U94" s="101"/>
      <c r="V94" s="19" t="s">
        <v>91</v>
      </c>
      <c r="W94" s="11" t="str">
        <f t="shared" ref="W94" si="7">_xlfn.CONCAT("0x",BIN2HEX(MID(V94,1,4),1),BIN2HEX(MID(V94,6,4),1),BIN2HEX(MID(V94,11,4),1))</f>
        <v>0x010</v>
      </c>
    </row>
    <row r="95" spans="2:23" ht="17.5" customHeight="1" x14ac:dyDescent="0.45">
      <c r="B95" s="7" t="s">
        <v>199</v>
      </c>
      <c r="C95" s="17" t="s">
        <v>200</v>
      </c>
      <c r="D95" s="7" t="s">
        <v>176</v>
      </c>
      <c r="E95" s="48" t="s">
        <v>177</v>
      </c>
      <c r="F95" s="8" t="s">
        <v>28</v>
      </c>
      <c r="G95" s="8" t="s">
        <v>28</v>
      </c>
      <c r="H95" s="8" t="s">
        <v>28</v>
      </c>
      <c r="I95" s="8" t="s">
        <v>28</v>
      </c>
      <c r="J95" s="13" t="s">
        <v>81</v>
      </c>
      <c r="K95" s="13" t="s">
        <v>81</v>
      </c>
      <c r="L95" s="61" t="s">
        <v>201</v>
      </c>
      <c r="M95" s="61"/>
      <c r="N95" s="61"/>
      <c r="O95" s="61"/>
      <c r="P95" s="61"/>
      <c r="Q95" s="95"/>
      <c r="R95" s="95"/>
      <c r="S95" s="95"/>
      <c r="T95" s="95"/>
      <c r="U95" s="95"/>
      <c r="V95" s="10" t="s">
        <v>37</v>
      </c>
      <c r="W95" s="7" t="str">
        <f t="shared" ref="W95" si="8">_xlfn.CONCAT("0x",BIN2HEX(MID(V95,1,4),1),BIN2HEX(MID(V95,6,4),1),BIN2HEX(MID(V95,11,4),1))</f>
        <v>0x000</v>
      </c>
    </row>
    <row r="96" spans="2:23" x14ac:dyDescent="0.45">
      <c r="B96" t="s">
        <v>133</v>
      </c>
    </row>
    <row r="97" spans="2:23" x14ac:dyDescent="0.45">
      <c r="B97" t="s">
        <v>309</v>
      </c>
    </row>
    <row r="98" spans="2:23" x14ac:dyDescent="0.45">
      <c r="B98" t="s">
        <v>334</v>
      </c>
    </row>
    <row r="99" spans="2:23" x14ac:dyDescent="0.45">
      <c r="B99" t="s">
        <v>310</v>
      </c>
    </row>
    <row r="102" spans="2:23" x14ac:dyDescent="0.45">
      <c r="B102" t="s">
        <v>312</v>
      </c>
    </row>
    <row r="103" spans="2:23" ht="23" x14ac:dyDescent="0.45">
      <c r="B103" s="1" t="s">
        <v>0</v>
      </c>
      <c r="C103" s="1" t="s">
        <v>1</v>
      </c>
      <c r="D103" s="2" t="s">
        <v>2</v>
      </c>
      <c r="E103" s="2" t="s">
        <v>3</v>
      </c>
      <c r="F103" s="2" t="s">
        <v>4</v>
      </c>
      <c r="G103" s="2" t="s">
        <v>5</v>
      </c>
      <c r="H103" s="2" t="s">
        <v>6</v>
      </c>
      <c r="I103" s="2" t="s">
        <v>7</v>
      </c>
      <c r="J103" s="2" t="s">
        <v>8</v>
      </c>
      <c r="K103" s="2" t="s">
        <v>9</v>
      </c>
      <c r="L103" s="2" t="s">
        <v>10</v>
      </c>
      <c r="M103" s="2" t="s">
        <v>11</v>
      </c>
      <c r="N103" s="1" t="s">
        <v>12</v>
      </c>
      <c r="O103" s="1" t="s">
        <v>13</v>
      </c>
      <c r="P103" s="1" t="s">
        <v>14</v>
      </c>
      <c r="Q103" s="1" t="s">
        <v>15</v>
      </c>
      <c r="R103" s="1" t="s">
        <v>16</v>
      </c>
      <c r="S103" s="1" t="s">
        <v>17</v>
      </c>
      <c r="T103" s="1" t="s">
        <v>18</v>
      </c>
      <c r="U103" s="1" t="s">
        <v>19</v>
      </c>
      <c r="V103" s="2" t="s">
        <v>20</v>
      </c>
      <c r="W103" s="2" t="s">
        <v>21</v>
      </c>
    </row>
    <row r="104" spans="2:23" s="15" customFormat="1" ht="14.5" x14ac:dyDescent="0.45">
      <c r="B104" s="7" t="s">
        <v>24</v>
      </c>
      <c r="C104" s="17" t="s">
        <v>25</v>
      </c>
      <c r="D104" s="17" t="s">
        <v>26</v>
      </c>
      <c r="E104" s="17" t="s">
        <v>27</v>
      </c>
      <c r="F104" s="18" t="s">
        <v>28</v>
      </c>
      <c r="G104" s="18" t="s">
        <v>28</v>
      </c>
      <c r="H104" s="18" t="s">
        <v>28</v>
      </c>
      <c r="I104" s="18" t="s">
        <v>28</v>
      </c>
      <c r="J104" s="16" t="s">
        <v>29</v>
      </c>
      <c r="K104" s="16" t="s">
        <v>30</v>
      </c>
      <c r="L104" s="16" t="s">
        <v>31</v>
      </c>
      <c r="M104" s="92" t="s">
        <v>32</v>
      </c>
      <c r="N104" s="93"/>
      <c r="O104" s="94"/>
      <c r="P104" s="92" t="s">
        <v>33</v>
      </c>
      <c r="Q104" s="93"/>
      <c r="R104" s="94"/>
      <c r="S104" s="16" t="s">
        <v>34</v>
      </c>
      <c r="T104" s="16" t="s">
        <v>35</v>
      </c>
      <c r="U104" s="16" t="s">
        <v>36</v>
      </c>
      <c r="V104" s="10" t="s">
        <v>37</v>
      </c>
      <c r="W104" s="7" t="str">
        <f>_xlfn.CONCAT("0x",BIN2HEX(MID(V104,1,4),1),BIN2HEX(MID(V104,6,4),1),BIN2HEX(MID(V104,11,4),1))</f>
        <v>0x000</v>
      </c>
    </row>
    <row r="105" spans="2:23" s="43" customFormat="1" ht="11.5" x14ac:dyDescent="0.45">
      <c r="B105" s="40"/>
      <c r="C105" s="40"/>
      <c r="D105" s="40"/>
      <c r="E105" s="40"/>
      <c r="F105" s="40"/>
      <c r="G105" s="40"/>
      <c r="H105" s="40"/>
      <c r="I105" s="40"/>
      <c r="J105" s="42">
        <v>1</v>
      </c>
      <c r="K105" s="42">
        <v>0</v>
      </c>
      <c r="L105" s="42">
        <v>0</v>
      </c>
      <c r="M105" s="42">
        <v>0</v>
      </c>
      <c r="N105" s="42">
        <v>0</v>
      </c>
      <c r="O105" s="42">
        <v>0</v>
      </c>
      <c r="P105" s="42">
        <v>0</v>
      </c>
      <c r="Q105" s="42">
        <v>1</v>
      </c>
      <c r="R105" s="42">
        <v>1</v>
      </c>
      <c r="S105" s="42">
        <v>0</v>
      </c>
      <c r="T105" s="42">
        <v>0</v>
      </c>
      <c r="U105" s="42">
        <v>0</v>
      </c>
      <c r="V105" s="40"/>
      <c r="W105" s="40"/>
    </row>
    <row r="106" spans="2:23" ht="17.5" customHeight="1" x14ac:dyDescent="0.45">
      <c r="B106" s="7" t="s">
        <v>214</v>
      </c>
      <c r="C106" s="17" t="s">
        <v>215</v>
      </c>
      <c r="D106" s="17" t="s">
        <v>176</v>
      </c>
      <c r="E106" s="17" t="s">
        <v>204</v>
      </c>
      <c r="F106" s="18" t="s">
        <v>28</v>
      </c>
      <c r="G106" s="18" t="s">
        <v>28</v>
      </c>
      <c r="H106" s="18" t="s">
        <v>28</v>
      </c>
      <c r="I106" s="18" t="s">
        <v>28</v>
      </c>
      <c r="J106" s="38" t="s">
        <v>81</v>
      </c>
      <c r="K106" s="38" t="s">
        <v>81</v>
      </c>
      <c r="L106" s="38" t="s">
        <v>81</v>
      </c>
      <c r="M106" s="38" t="s">
        <v>81</v>
      </c>
      <c r="N106" s="38" t="s">
        <v>81</v>
      </c>
      <c r="O106" s="16" t="s">
        <v>216</v>
      </c>
      <c r="P106" s="16" t="s">
        <v>217</v>
      </c>
      <c r="Q106" s="16" t="s">
        <v>218</v>
      </c>
      <c r="R106" s="102" t="s">
        <v>219</v>
      </c>
      <c r="S106" s="102"/>
      <c r="T106" s="102" t="s">
        <v>220</v>
      </c>
      <c r="U106" s="102"/>
      <c r="V106" s="51" t="s">
        <v>221</v>
      </c>
      <c r="W106" s="17" t="str">
        <f>_xlfn.CONCAT("0x",BIN2HEX(MID(V106,1,4),1),BIN2HEX(MID(V106,6,4),1),BIN2HEX(MID(V106,11,4),1))</f>
        <v>0x00E</v>
      </c>
    </row>
    <row r="107" spans="2:23" ht="17.5" customHeight="1" thickBot="1" x14ac:dyDescent="0.5">
      <c r="B107" s="40"/>
      <c r="C107" s="40"/>
      <c r="D107" s="40"/>
      <c r="E107" s="40"/>
      <c r="F107" s="40"/>
      <c r="G107" s="40"/>
      <c r="H107" s="40"/>
      <c r="I107" s="40"/>
      <c r="J107" s="41">
        <v>0</v>
      </c>
      <c r="K107" s="41">
        <v>0</v>
      </c>
      <c r="L107" s="41">
        <v>0</v>
      </c>
      <c r="M107" s="42">
        <v>0</v>
      </c>
      <c r="N107" s="42">
        <v>0</v>
      </c>
      <c r="O107" s="42">
        <v>0</v>
      </c>
      <c r="P107" s="42">
        <v>0</v>
      </c>
      <c r="Q107" s="42">
        <v>0</v>
      </c>
      <c r="R107" s="42">
        <v>0</v>
      </c>
      <c r="S107" s="42">
        <v>0</v>
      </c>
      <c r="T107" s="42">
        <v>0</v>
      </c>
      <c r="U107" s="42">
        <v>0</v>
      </c>
      <c r="V107" s="40"/>
      <c r="W107" s="40"/>
    </row>
    <row r="108" spans="2:23" ht="17.5" thickBot="1" x14ac:dyDescent="0.5">
      <c r="B108" s="7" t="s">
        <v>85</v>
      </c>
      <c r="C108" s="11" t="s">
        <v>86</v>
      </c>
      <c r="D108" s="11" t="s">
        <v>26</v>
      </c>
      <c r="E108" s="11" t="s">
        <v>27</v>
      </c>
      <c r="F108" s="8" t="s">
        <v>28</v>
      </c>
      <c r="G108" s="8" t="s">
        <v>28</v>
      </c>
      <c r="H108" s="8" t="s">
        <v>28</v>
      </c>
      <c r="I108" s="8" t="s">
        <v>28</v>
      </c>
      <c r="J108" s="13" t="s">
        <v>70</v>
      </c>
      <c r="K108" s="13" t="s">
        <v>70</v>
      </c>
      <c r="L108" s="53" t="s">
        <v>70</v>
      </c>
      <c r="M108" s="96" t="s">
        <v>87</v>
      </c>
      <c r="N108" s="97"/>
      <c r="O108" s="97"/>
      <c r="P108" s="97"/>
      <c r="Q108" s="97"/>
      <c r="R108" s="97"/>
      <c r="S108" s="97"/>
      <c r="T108" s="97"/>
      <c r="U108" s="98"/>
      <c r="V108" s="19" t="s">
        <v>82</v>
      </c>
      <c r="W108" s="11" t="str">
        <f t="shared" ref="W108" si="9">_xlfn.CONCAT("0x",BIN2HEX(MID(V108,1,4),1),BIN2HEX(MID(V108,6,4),1),BIN2HEX(MID(V108,11,4),1))</f>
        <v>0x000</v>
      </c>
    </row>
    <row r="109" spans="2:23" ht="17.5" customHeight="1" x14ac:dyDescent="0.45">
      <c r="B109" s="7" t="s">
        <v>199</v>
      </c>
      <c r="C109" s="17" t="s">
        <v>200</v>
      </c>
      <c r="D109" s="7" t="s">
        <v>176</v>
      </c>
      <c r="E109" s="48" t="s">
        <v>177</v>
      </c>
      <c r="F109" s="8" t="s">
        <v>28</v>
      </c>
      <c r="G109" s="8" t="s">
        <v>28</v>
      </c>
      <c r="H109" s="8" t="s">
        <v>28</v>
      </c>
      <c r="I109" s="8" t="s">
        <v>28</v>
      </c>
      <c r="J109" s="13" t="s">
        <v>81</v>
      </c>
      <c r="K109" s="13" t="s">
        <v>81</v>
      </c>
      <c r="L109" s="61" t="s">
        <v>201</v>
      </c>
      <c r="M109" s="95"/>
      <c r="N109" s="95"/>
      <c r="O109" s="95"/>
      <c r="P109" s="95"/>
      <c r="Q109" s="95"/>
      <c r="R109" s="95"/>
      <c r="S109" s="95"/>
      <c r="T109" s="95"/>
      <c r="U109" s="95"/>
      <c r="V109" s="10" t="s">
        <v>37</v>
      </c>
      <c r="W109" s="7" t="str">
        <f t="shared" ref="W109" si="10">_xlfn.CONCAT("0x",BIN2HEX(MID(V109,1,4),1),BIN2HEX(MID(V109,6,4),1),BIN2HEX(MID(V109,11,4),1))</f>
        <v>0x000</v>
      </c>
    </row>
    <row r="110" spans="2:23" x14ac:dyDescent="0.45">
      <c r="B110" t="s">
        <v>133</v>
      </c>
    </row>
    <row r="111" spans="2:23" x14ac:dyDescent="0.45">
      <c r="B111" t="s">
        <v>313</v>
      </c>
    </row>
    <row r="112" spans="2:23" x14ac:dyDescent="0.45">
      <c r="B112" t="s">
        <v>314</v>
      </c>
    </row>
    <row r="115" spans="2:23" x14ac:dyDescent="0.45">
      <c r="B115" t="s">
        <v>315</v>
      </c>
    </row>
    <row r="116" spans="2:23" ht="23" x14ac:dyDescent="0.45">
      <c r="B116" s="1" t="s">
        <v>0</v>
      </c>
      <c r="C116" s="1" t="s">
        <v>1</v>
      </c>
      <c r="D116" s="2" t="s">
        <v>2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8</v>
      </c>
      <c r="K116" s="2" t="s">
        <v>9</v>
      </c>
      <c r="L116" s="2" t="s">
        <v>10</v>
      </c>
      <c r="M116" s="2" t="s">
        <v>11</v>
      </c>
      <c r="N116" s="1" t="s">
        <v>12</v>
      </c>
      <c r="O116" s="1" t="s">
        <v>13</v>
      </c>
      <c r="P116" s="1" t="s">
        <v>14</v>
      </c>
      <c r="Q116" s="1" t="s">
        <v>15</v>
      </c>
      <c r="R116" s="1" t="s">
        <v>16</v>
      </c>
      <c r="S116" s="1" t="s">
        <v>17</v>
      </c>
      <c r="T116" s="1" t="s">
        <v>18</v>
      </c>
      <c r="U116" s="1" t="s">
        <v>19</v>
      </c>
      <c r="V116" s="2" t="s">
        <v>20</v>
      </c>
      <c r="W116" s="2" t="s">
        <v>21</v>
      </c>
    </row>
    <row r="117" spans="2:23" s="15" customFormat="1" ht="14.5" x14ac:dyDescent="0.45">
      <c r="B117" s="7" t="s">
        <v>24</v>
      </c>
      <c r="C117" s="17" t="s">
        <v>25</v>
      </c>
      <c r="D117" s="17" t="s">
        <v>26</v>
      </c>
      <c r="E117" s="17" t="s">
        <v>27</v>
      </c>
      <c r="F117" s="18" t="s">
        <v>28</v>
      </c>
      <c r="G117" s="18" t="s">
        <v>28</v>
      </c>
      <c r="H117" s="18" t="s">
        <v>28</v>
      </c>
      <c r="I117" s="18" t="s">
        <v>28</v>
      </c>
      <c r="J117" s="16" t="s">
        <v>29</v>
      </c>
      <c r="K117" s="16" t="s">
        <v>30</v>
      </c>
      <c r="L117" s="16" t="s">
        <v>31</v>
      </c>
      <c r="M117" s="92" t="s">
        <v>32</v>
      </c>
      <c r="N117" s="93"/>
      <c r="O117" s="94"/>
      <c r="P117" s="92" t="s">
        <v>33</v>
      </c>
      <c r="Q117" s="93"/>
      <c r="R117" s="94"/>
      <c r="S117" s="16" t="s">
        <v>34</v>
      </c>
      <c r="T117" s="16" t="s">
        <v>35</v>
      </c>
      <c r="U117" s="16" t="s">
        <v>36</v>
      </c>
      <c r="V117" s="10" t="s">
        <v>37</v>
      </c>
      <c r="W117" s="7" t="str">
        <f>_xlfn.CONCAT("0x",BIN2HEX(MID(V117,1,4),1),BIN2HEX(MID(V117,6,4),1),BIN2HEX(MID(V117,11,4),1))</f>
        <v>0x000</v>
      </c>
    </row>
    <row r="118" spans="2:23" s="43" customFormat="1" ht="12" thickBot="1" x14ac:dyDescent="0.5">
      <c r="B118" s="40"/>
      <c r="C118" s="40"/>
      <c r="D118" s="40"/>
      <c r="E118" s="40"/>
      <c r="F118" s="40"/>
      <c r="G118" s="40"/>
      <c r="H118" s="40"/>
      <c r="I118" s="40"/>
      <c r="J118" s="42">
        <v>1</v>
      </c>
      <c r="K118" s="42">
        <v>0</v>
      </c>
      <c r="L118" s="42">
        <v>0</v>
      </c>
      <c r="M118" s="42">
        <v>0</v>
      </c>
      <c r="N118" s="42">
        <v>0</v>
      </c>
      <c r="O118" s="42">
        <v>0</v>
      </c>
      <c r="P118" s="42">
        <v>0</v>
      </c>
      <c r="Q118" s="42">
        <v>1</v>
      </c>
      <c r="R118" s="42">
        <v>1</v>
      </c>
      <c r="S118" s="42">
        <v>1</v>
      </c>
      <c r="T118" s="42">
        <v>1</v>
      </c>
      <c r="U118" s="42">
        <v>1</v>
      </c>
      <c r="V118" s="40"/>
      <c r="W118" s="40"/>
    </row>
    <row r="119" spans="2:23" ht="17.5" thickBot="1" x14ac:dyDescent="0.5">
      <c r="B119" s="7" t="s">
        <v>111</v>
      </c>
      <c r="C119" s="11" t="s">
        <v>112</v>
      </c>
      <c r="D119" s="11" t="s">
        <v>26</v>
      </c>
      <c r="E119" s="11" t="s">
        <v>27</v>
      </c>
      <c r="F119" s="8" t="s">
        <v>28</v>
      </c>
      <c r="G119" s="8" t="s">
        <v>28</v>
      </c>
      <c r="H119" s="8" t="s">
        <v>28</v>
      </c>
      <c r="I119" s="44" t="s">
        <v>28</v>
      </c>
      <c r="J119" s="81" t="s">
        <v>113</v>
      </c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3"/>
      <c r="V119" s="19" t="s">
        <v>105</v>
      </c>
      <c r="W119" s="11" t="str">
        <f t="shared" ref="W119" si="11">_xlfn.CONCAT("0x",BIN2HEX(MID(V119,1,4),1),BIN2HEX(MID(V119,6,4),1),BIN2HEX(MID(V119,11,4),1))</f>
        <v>0x000</v>
      </c>
    </row>
    <row r="120" spans="2:23" s="43" customFormat="1" ht="12" thickBot="1" x14ac:dyDescent="0.5">
      <c r="B120" s="40"/>
      <c r="C120" s="40"/>
      <c r="D120" s="40"/>
      <c r="E120" s="40"/>
      <c r="F120" s="40"/>
      <c r="G120" s="40"/>
      <c r="H120" s="40"/>
      <c r="I120" s="40"/>
      <c r="J120" s="41">
        <v>1</v>
      </c>
      <c r="K120" s="41">
        <v>1</v>
      </c>
      <c r="L120" s="41">
        <v>1</v>
      </c>
      <c r="M120" s="41">
        <v>1</v>
      </c>
      <c r="N120" s="42">
        <v>1</v>
      </c>
      <c r="O120" s="42">
        <v>1</v>
      </c>
      <c r="P120" s="42">
        <v>1</v>
      </c>
      <c r="Q120" s="42">
        <v>1</v>
      </c>
      <c r="R120" s="42">
        <v>1</v>
      </c>
      <c r="S120" s="42">
        <v>1</v>
      </c>
      <c r="T120" s="42">
        <v>1</v>
      </c>
      <c r="U120" s="42">
        <v>1</v>
      </c>
      <c r="V120" s="40"/>
      <c r="W120" s="40"/>
    </row>
    <row r="121" spans="2:23" ht="17.5" thickBot="1" x14ac:dyDescent="0.5">
      <c r="B121" s="7" t="s">
        <v>92</v>
      </c>
      <c r="C121" s="11" t="s">
        <v>93</v>
      </c>
      <c r="D121" s="11" t="s">
        <v>26</v>
      </c>
      <c r="E121" s="11" t="s">
        <v>27</v>
      </c>
      <c r="F121" s="8" t="s">
        <v>28</v>
      </c>
      <c r="G121" s="8" t="s">
        <v>28</v>
      </c>
      <c r="H121" s="8" t="s">
        <v>28</v>
      </c>
      <c r="I121" s="8" t="s">
        <v>28</v>
      </c>
      <c r="J121" s="13" t="s">
        <v>70</v>
      </c>
      <c r="K121" s="13" t="s">
        <v>70</v>
      </c>
      <c r="L121" s="13" t="s">
        <v>70</v>
      </c>
      <c r="M121" s="53" t="s">
        <v>70</v>
      </c>
      <c r="N121" s="81" t="s">
        <v>94</v>
      </c>
      <c r="O121" s="82"/>
      <c r="P121" s="82"/>
      <c r="Q121" s="82"/>
      <c r="R121" s="82"/>
      <c r="S121" s="82"/>
      <c r="T121" s="82"/>
      <c r="U121" s="83"/>
      <c r="V121" s="19" t="s">
        <v>95</v>
      </c>
      <c r="W121" s="11" t="str">
        <f t="shared" ref="W121" si="12">_xlfn.CONCAT("0x",BIN2HEX(MID(V121,1,4),1),BIN2HEX(MID(V121,6,4),1),BIN2HEX(MID(V121,11,4),1))</f>
        <v>0x080</v>
      </c>
    </row>
    <row r="122" spans="2:23" ht="17.5" thickBot="1" x14ac:dyDescent="0.5">
      <c r="B122" s="7" t="s">
        <v>114</v>
      </c>
      <c r="C122" s="11" t="s">
        <v>115</v>
      </c>
      <c r="D122" s="11" t="s">
        <v>26</v>
      </c>
      <c r="E122" s="11" t="s">
        <v>27</v>
      </c>
      <c r="F122" s="8" t="s">
        <v>28</v>
      </c>
      <c r="G122" s="8" t="s">
        <v>28</v>
      </c>
      <c r="H122" s="8" t="s">
        <v>28</v>
      </c>
      <c r="I122" s="44" t="s">
        <v>28</v>
      </c>
      <c r="J122" s="81" t="s">
        <v>116</v>
      </c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3"/>
      <c r="V122" s="19" t="s">
        <v>105</v>
      </c>
      <c r="W122" s="11" t="str">
        <f>_xlfn.CONCAT("0x",BIN2HEX(MID(V122,1,4),1),BIN2HEX(MID(V122,6,4),1),BIN2HEX(MID(V122,11,4),1))</f>
        <v>0x000</v>
      </c>
    </row>
    <row r="123" spans="2:23" s="43" customFormat="1" ht="12" thickBot="1" x14ac:dyDescent="0.5">
      <c r="B123" s="40"/>
      <c r="C123" s="40"/>
      <c r="D123" s="40"/>
      <c r="E123" s="40"/>
      <c r="F123" s="40"/>
      <c r="G123" s="40"/>
      <c r="H123" s="40"/>
      <c r="I123" s="40"/>
      <c r="J123" s="41">
        <v>1</v>
      </c>
      <c r="K123" s="41">
        <v>1</v>
      </c>
      <c r="L123" s="41">
        <v>1</v>
      </c>
      <c r="M123" s="41">
        <v>1</v>
      </c>
      <c r="N123" s="42">
        <v>1</v>
      </c>
      <c r="O123" s="42">
        <v>1</v>
      </c>
      <c r="P123" s="42">
        <v>1</v>
      </c>
      <c r="Q123" s="42">
        <v>1</v>
      </c>
      <c r="R123" s="42">
        <v>1</v>
      </c>
      <c r="S123" s="42">
        <v>1</v>
      </c>
      <c r="T123" s="42">
        <v>1</v>
      </c>
      <c r="U123" s="42">
        <v>1</v>
      </c>
      <c r="V123" s="40"/>
      <c r="W123" s="40"/>
    </row>
    <row r="124" spans="2:23" ht="17.5" thickBot="1" x14ac:dyDescent="0.5">
      <c r="B124" s="7" t="s">
        <v>96</v>
      </c>
      <c r="C124" s="11" t="s">
        <v>97</v>
      </c>
      <c r="D124" s="11" t="s">
        <v>26</v>
      </c>
      <c r="E124" s="11" t="s">
        <v>27</v>
      </c>
      <c r="F124" s="8" t="s">
        <v>28</v>
      </c>
      <c r="G124" s="8" t="s">
        <v>28</v>
      </c>
      <c r="H124" s="8" t="s">
        <v>28</v>
      </c>
      <c r="I124" s="8" t="s">
        <v>28</v>
      </c>
      <c r="J124" s="56" t="s">
        <v>70</v>
      </c>
      <c r="K124" s="56" t="s">
        <v>70</v>
      </c>
      <c r="L124" s="56" t="s">
        <v>70</v>
      </c>
      <c r="M124" s="57" t="s">
        <v>70</v>
      </c>
      <c r="N124" s="84" t="s">
        <v>98</v>
      </c>
      <c r="O124" s="85"/>
      <c r="P124" s="85"/>
      <c r="Q124" s="85"/>
      <c r="R124" s="85"/>
      <c r="S124" s="85"/>
      <c r="T124" s="85"/>
      <c r="U124" s="86"/>
      <c r="V124" s="19" t="s">
        <v>95</v>
      </c>
      <c r="W124" s="11" t="str">
        <f t="shared" ref="W124" si="13">_xlfn.CONCAT("0x",BIN2HEX(MID(V124,1,4),1),BIN2HEX(MID(V124,6,4),1),BIN2HEX(MID(V124,11,4),1))</f>
        <v>0x080</v>
      </c>
    </row>
    <row r="125" spans="2:23" ht="17.5" thickBot="1" x14ac:dyDescent="0.5">
      <c r="B125" s="7" t="s">
        <v>117</v>
      </c>
      <c r="C125" s="11" t="s">
        <v>118</v>
      </c>
      <c r="D125" s="11" t="s">
        <v>26</v>
      </c>
      <c r="E125" s="11" t="s">
        <v>27</v>
      </c>
      <c r="F125" s="8" t="s">
        <v>28</v>
      </c>
      <c r="G125" s="8" t="s">
        <v>28</v>
      </c>
      <c r="H125" s="8" t="s">
        <v>28</v>
      </c>
      <c r="I125" s="44" t="s">
        <v>28</v>
      </c>
      <c r="J125" s="81" t="s">
        <v>119</v>
      </c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3"/>
      <c r="V125" s="19" t="s">
        <v>109</v>
      </c>
      <c r="W125" s="11" t="str">
        <f>_xlfn.CONCAT("0x",BIN2HEX(MID(V125,1,4),1),BIN2HEX(MID(V125,6,4),1),BIN2HEX(MID(V125,11,4),1))</f>
        <v>0x000</v>
      </c>
    </row>
    <row r="126" spans="2:23" s="43" customFormat="1" ht="12" thickBot="1" x14ac:dyDescent="0.5">
      <c r="B126" s="40"/>
      <c r="C126" s="40"/>
      <c r="D126" s="40"/>
      <c r="E126" s="40"/>
      <c r="F126" s="40"/>
      <c r="G126" s="40"/>
      <c r="H126" s="40"/>
      <c r="I126" s="40"/>
      <c r="J126" s="58">
        <v>1</v>
      </c>
      <c r="K126" s="58">
        <v>1</v>
      </c>
      <c r="L126" s="58">
        <v>1</v>
      </c>
      <c r="M126" s="58">
        <v>1</v>
      </c>
      <c r="N126" s="55">
        <v>1</v>
      </c>
      <c r="O126" s="55">
        <v>1</v>
      </c>
      <c r="P126" s="55">
        <v>1</v>
      </c>
      <c r="Q126" s="55">
        <v>1</v>
      </c>
      <c r="R126" s="55">
        <v>1</v>
      </c>
      <c r="S126" s="55">
        <v>1</v>
      </c>
      <c r="T126" s="55">
        <v>1</v>
      </c>
      <c r="U126" s="55">
        <v>1</v>
      </c>
      <c r="V126" s="40"/>
      <c r="W126" s="40"/>
    </row>
    <row r="127" spans="2:23" ht="17.5" thickBot="1" x14ac:dyDescent="0.5">
      <c r="B127" s="7" t="s">
        <v>99</v>
      </c>
      <c r="C127" s="11" t="s">
        <v>100</v>
      </c>
      <c r="D127" s="11" t="s">
        <v>26</v>
      </c>
      <c r="E127" s="11" t="s">
        <v>27</v>
      </c>
      <c r="F127" s="8" t="s">
        <v>28</v>
      </c>
      <c r="G127" s="8" t="s">
        <v>28</v>
      </c>
      <c r="H127" s="8" t="s">
        <v>28</v>
      </c>
      <c r="I127" s="8" t="s">
        <v>28</v>
      </c>
      <c r="J127" s="13" t="s">
        <v>70</v>
      </c>
      <c r="K127" s="13" t="s">
        <v>70</v>
      </c>
      <c r="L127" s="13" t="s">
        <v>70</v>
      </c>
      <c r="M127" s="53" t="s">
        <v>70</v>
      </c>
      <c r="N127" s="81" t="s">
        <v>101</v>
      </c>
      <c r="O127" s="82"/>
      <c r="P127" s="82"/>
      <c r="Q127" s="82"/>
      <c r="R127" s="82"/>
      <c r="S127" s="82"/>
      <c r="T127" s="82"/>
      <c r="U127" s="83"/>
      <c r="V127" s="19" t="s">
        <v>95</v>
      </c>
      <c r="W127" s="11" t="str">
        <f t="shared" ref="W127" si="14">_xlfn.CONCAT("0x",BIN2HEX(MID(V127,1,4),1),BIN2HEX(MID(V127,6,4),1),BIN2HEX(MID(V127,11,4),1))</f>
        <v>0x080</v>
      </c>
    </row>
    <row r="128" spans="2:23" s="43" customFormat="1" ht="11.5" x14ac:dyDescent="0.45"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</row>
    <row r="129" spans="2:23" s="43" customFormat="1" x14ac:dyDescent="0.45">
      <c r="B129" t="s">
        <v>319</v>
      </c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</row>
    <row r="130" spans="2:23" x14ac:dyDescent="0.45">
      <c r="B130" t="s">
        <v>133</v>
      </c>
    </row>
    <row r="131" spans="2:23" x14ac:dyDescent="0.45">
      <c r="B131" t="s">
        <v>316</v>
      </c>
    </row>
    <row r="132" spans="2:23" x14ac:dyDescent="0.45">
      <c r="B132" s="54" t="s">
        <v>317</v>
      </c>
    </row>
    <row r="133" spans="2:23" x14ac:dyDescent="0.45">
      <c r="B133" t="s">
        <v>322</v>
      </c>
    </row>
    <row r="134" spans="2:23" x14ac:dyDescent="0.45">
      <c r="B134" t="s">
        <v>335</v>
      </c>
    </row>
    <row r="135" spans="2:23" x14ac:dyDescent="0.45">
      <c r="B135" t="s">
        <v>318</v>
      </c>
    </row>
    <row r="137" spans="2:23" x14ac:dyDescent="0.45">
      <c r="B137" t="s">
        <v>320</v>
      </c>
    </row>
    <row r="138" spans="2:23" x14ac:dyDescent="0.45">
      <c r="B138" t="s">
        <v>321</v>
      </c>
    </row>
    <row r="139" spans="2:23" x14ac:dyDescent="0.45">
      <c r="B139" t="s">
        <v>323</v>
      </c>
    </row>
    <row r="140" spans="2:23" x14ac:dyDescent="0.45">
      <c r="B140" t="s">
        <v>324</v>
      </c>
    </row>
    <row r="143" spans="2:23" x14ac:dyDescent="0.45">
      <c r="B143" t="s">
        <v>325</v>
      </c>
    </row>
    <row r="144" spans="2:23" ht="23" x14ac:dyDescent="0.45">
      <c r="B144" s="1" t="s">
        <v>0</v>
      </c>
      <c r="C144" s="1" t="s">
        <v>1</v>
      </c>
      <c r="D144" s="2" t="s">
        <v>2</v>
      </c>
      <c r="E144" s="2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8</v>
      </c>
      <c r="K144" s="2" t="s">
        <v>9</v>
      </c>
      <c r="L144" s="2" t="s">
        <v>10</v>
      </c>
      <c r="M144" s="2" t="s">
        <v>11</v>
      </c>
      <c r="N144" s="1" t="s">
        <v>12</v>
      </c>
      <c r="O144" s="1" t="s">
        <v>13</v>
      </c>
      <c r="P144" s="1" t="s">
        <v>14</v>
      </c>
      <c r="Q144" s="1" t="s">
        <v>15</v>
      </c>
      <c r="R144" s="1" t="s">
        <v>16</v>
      </c>
      <c r="S144" s="1" t="s">
        <v>17</v>
      </c>
      <c r="T144" s="1" t="s">
        <v>18</v>
      </c>
      <c r="U144" s="1" t="s">
        <v>19</v>
      </c>
      <c r="V144" s="2" t="s">
        <v>20</v>
      </c>
      <c r="W144" s="2" t="s">
        <v>21</v>
      </c>
    </row>
    <row r="145" spans="2:23" s="15" customFormat="1" ht="14.5" x14ac:dyDescent="0.45">
      <c r="B145" s="7" t="s">
        <v>24</v>
      </c>
      <c r="C145" s="17" t="s">
        <v>25</v>
      </c>
      <c r="D145" s="17" t="s">
        <v>26</v>
      </c>
      <c r="E145" s="17" t="s">
        <v>27</v>
      </c>
      <c r="F145" s="18" t="s">
        <v>28</v>
      </c>
      <c r="G145" s="18" t="s">
        <v>28</v>
      </c>
      <c r="H145" s="18" t="s">
        <v>28</v>
      </c>
      <c r="I145" s="18" t="s">
        <v>28</v>
      </c>
      <c r="J145" s="16" t="s">
        <v>29</v>
      </c>
      <c r="K145" s="16" t="s">
        <v>30</v>
      </c>
      <c r="L145" s="16" t="s">
        <v>31</v>
      </c>
      <c r="M145" s="92" t="s">
        <v>32</v>
      </c>
      <c r="N145" s="93"/>
      <c r="O145" s="94"/>
      <c r="P145" s="92" t="s">
        <v>33</v>
      </c>
      <c r="Q145" s="93"/>
      <c r="R145" s="94"/>
      <c r="S145" s="16" t="s">
        <v>34</v>
      </c>
      <c r="T145" s="16" t="s">
        <v>35</v>
      </c>
      <c r="U145" s="16" t="s">
        <v>36</v>
      </c>
      <c r="V145" s="10" t="s">
        <v>37</v>
      </c>
      <c r="W145" s="7" t="str">
        <f>_xlfn.CONCAT("0x",BIN2HEX(MID(V145,1,4),1),BIN2HEX(MID(V145,6,4),1),BIN2HEX(MID(V145,11,4),1))</f>
        <v>0x000</v>
      </c>
    </row>
    <row r="146" spans="2:23" s="43" customFormat="1" ht="12" thickBot="1" x14ac:dyDescent="0.5">
      <c r="B146" s="40"/>
      <c r="C146" s="40"/>
      <c r="D146" s="40"/>
      <c r="E146" s="40"/>
      <c r="F146" s="40"/>
      <c r="G146" s="40"/>
      <c r="H146" s="40"/>
      <c r="I146" s="40"/>
      <c r="J146" s="42">
        <v>1</v>
      </c>
      <c r="K146" s="42">
        <v>0</v>
      </c>
      <c r="L146" s="42">
        <v>0</v>
      </c>
      <c r="M146" s="42">
        <v>0</v>
      </c>
      <c r="N146" s="42">
        <v>0</v>
      </c>
      <c r="O146" s="42">
        <v>0</v>
      </c>
      <c r="P146" s="42">
        <v>0</v>
      </c>
      <c r="Q146" s="42">
        <v>1</v>
      </c>
      <c r="R146" s="42">
        <v>1</v>
      </c>
      <c r="S146" s="42">
        <v>1</v>
      </c>
      <c r="T146" s="42">
        <v>1</v>
      </c>
      <c r="U146" s="42">
        <v>1</v>
      </c>
      <c r="V146" s="40"/>
      <c r="W146" s="40"/>
    </row>
    <row r="147" spans="2:23" ht="17.5" thickBot="1" x14ac:dyDescent="0.5">
      <c r="B147" s="7" t="s">
        <v>92</v>
      </c>
      <c r="C147" s="11" t="s">
        <v>93</v>
      </c>
      <c r="D147" s="11" t="s">
        <v>26</v>
      </c>
      <c r="E147" s="11" t="s">
        <v>27</v>
      </c>
      <c r="F147" s="8" t="s">
        <v>28</v>
      </c>
      <c r="G147" s="8" t="s">
        <v>28</v>
      </c>
      <c r="H147" s="8" t="s">
        <v>28</v>
      </c>
      <c r="I147" s="8" t="s">
        <v>28</v>
      </c>
      <c r="J147" s="13" t="s">
        <v>70</v>
      </c>
      <c r="K147" s="13" t="s">
        <v>70</v>
      </c>
      <c r="L147" s="13" t="s">
        <v>70</v>
      </c>
      <c r="M147" s="53" t="s">
        <v>70</v>
      </c>
      <c r="N147" s="81" t="s">
        <v>94</v>
      </c>
      <c r="O147" s="82"/>
      <c r="P147" s="82"/>
      <c r="Q147" s="82"/>
      <c r="R147" s="82"/>
      <c r="S147" s="82"/>
      <c r="T147" s="82"/>
      <c r="U147" s="83"/>
      <c r="V147" s="19" t="s">
        <v>95</v>
      </c>
      <c r="W147" s="11" t="str">
        <f t="shared" ref="W147:W151" si="15">_xlfn.CONCAT("0x",BIN2HEX(MID(V147,1,4),1),BIN2HEX(MID(V147,6,4),1),BIN2HEX(MID(V147,11,4),1))</f>
        <v>0x080</v>
      </c>
    </row>
    <row r="148" spans="2:23" ht="17.5" thickBot="1" x14ac:dyDescent="0.5">
      <c r="B148" s="7" t="s">
        <v>96</v>
      </c>
      <c r="C148" s="11" t="s">
        <v>97</v>
      </c>
      <c r="D148" s="11" t="s">
        <v>26</v>
      </c>
      <c r="E148" s="11" t="s">
        <v>27</v>
      </c>
      <c r="F148" s="8" t="s">
        <v>28</v>
      </c>
      <c r="G148" s="8" t="s">
        <v>28</v>
      </c>
      <c r="H148" s="8" t="s">
        <v>28</v>
      </c>
      <c r="I148" s="8" t="s">
        <v>28</v>
      </c>
      <c r="J148" s="56" t="s">
        <v>70</v>
      </c>
      <c r="K148" s="56" t="s">
        <v>70</v>
      </c>
      <c r="L148" s="56" t="s">
        <v>70</v>
      </c>
      <c r="M148" s="57" t="s">
        <v>70</v>
      </c>
      <c r="N148" s="84" t="s">
        <v>98</v>
      </c>
      <c r="O148" s="85"/>
      <c r="P148" s="85"/>
      <c r="Q148" s="85"/>
      <c r="R148" s="85"/>
      <c r="S148" s="85"/>
      <c r="T148" s="85"/>
      <c r="U148" s="86"/>
      <c r="V148" s="19" t="s">
        <v>95</v>
      </c>
      <c r="W148" s="11" t="str">
        <f t="shared" si="15"/>
        <v>0x080</v>
      </c>
    </row>
    <row r="149" spans="2:23" ht="17.5" thickBot="1" x14ac:dyDescent="0.5">
      <c r="B149" s="7" t="s">
        <v>99</v>
      </c>
      <c r="C149" s="11" t="s">
        <v>100</v>
      </c>
      <c r="D149" s="11" t="s">
        <v>26</v>
      </c>
      <c r="E149" s="11" t="s">
        <v>27</v>
      </c>
      <c r="F149" s="8" t="s">
        <v>28</v>
      </c>
      <c r="G149" s="8" t="s">
        <v>28</v>
      </c>
      <c r="H149" s="8" t="s">
        <v>28</v>
      </c>
      <c r="I149" s="8" t="s">
        <v>28</v>
      </c>
      <c r="J149" s="56" t="s">
        <v>70</v>
      </c>
      <c r="K149" s="56" t="s">
        <v>70</v>
      </c>
      <c r="L149" s="56" t="s">
        <v>70</v>
      </c>
      <c r="M149" s="57" t="s">
        <v>70</v>
      </c>
      <c r="N149" s="81" t="s">
        <v>101</v>
      </c>
      <c r="O149" s="82"/>
      <c r="P149" s="82"/>
      <c r="Q149" s="82"/>
      <c r="R149" s="82"/>
      <c r="S149" s="82"/>
      <c r="T149" s="82"/>
      <c r="U149" s="83"/>
      <c r="V149" s="19" t="s">
        <v>95</v>
      </c>
      <c r="W149" s="11" t="str">
        <f t="shared" si="15"/>
        <v>0x080</v>
      </c>
    </row>
    <row r="150" spans="2:23" ht="23.5" customHeight="1" thickBot="1" x14ac:dyDescent="0.5">
      <c r="B150" s="7" t="s">
        <v>79</v>
      </c>
      <c r="C150" s="11" t="s">
        <v>80</v>
      </c>
      <c r="D150" s="11" t="s">
        <v>26</v>
      </c>
      <c r="E150" s="11" t="s">
        <v>27</v>
      </c>
      <c r="F150" s="8" t="s">
        <v>28</v>
      </c>
      <c r="G150" s="8" t="s">
        <v>28</v>
      </c>
      <c r="H150" s="8" t="s">
        <v>28</v>
      </c>
      <c r="I150" s="44" t="s">
        <v>28</v>
      </c>
      <c r="J150" s="89" t="s">
        <v>326</v>
      </c>
      <c r="K150" s="90"/>
      <c r="L150" s="90"/>
      <c r="M150" s="91"/>
      <c r="N150" s="87" t="s">
        <v>327</v>
      </c>
      <c r="O150" s="87"/>
      <c r="P150" s="87"/>
      <c r="Q150" s="87"/>
      <c r="R150" s="87"/>
      <c r="S150" s="87"/>
      <c r="T150" s="87"/>
      <c r="U150" s="88"/>
      <c r="V150" s="12" t="s">
        <v>82</v>
      </c>
      <c r="W150" s="11" t="str">
        <f t="shared" si="15"/>
        <v>0x000</v>
      </c>
    </row>
    <row r="151" spans="2:23" ht="17.5" thickBot="1" x14ac:dyDescent="0.5">
      <c r="B151" s="7" t="s">
        <v>83</v>
      </c>
      <c r="C151" s="11" t="s">
        <v>84</v>
      </c>
      <c r="D151" s="11" t="s">
        <v>26</v>
      </c>
      <c r="E151" s="11" t="s">
        <v>27</v>
      </c>
      <c r="F151" s="8" t="s">
        <v>28</v>
      </c>
      <c r="G151" s="8" t="s">
        <v>28</v>
      </c>
      <c r="H151" s="8" t="s">
        <v>28</v>
      </c>
      <c r="I151" s="44" t="s">
        <v>28</v>
      </c>
      <c r="J151" s="89" t="s">
        <v>329</v>
      </c>
      <c r="K151" s="90"/>
      <c r="L151" s="90"/>
      <c r="M151" s="91"/>
      <c r="N151" s="87" t="s">
        <v>328</v>
      </c>
      <c r="O151" s="87"/>
      <c r="P151" s="87"/>
      <c r="Q151" s="87"/>
      <c r="R151" s="87"/>
      <c r="S151" s="87"/>
      <c r="T151" s="87"/>
      <c r="U151" s="88"/>
      <c r="V151" s="12" t="s">
        <v>82</v>
      </c>
      <c r="W151" s="11" t="str">
        <f t="shared" si="15"/>
        <v>0x000</v>
      </c>
    </row>
    <row r="153" spans="2:23" x14ac:dyDescent="0.45">
      <c r="B153" t="s">
        <v>133</v>
      </c>
    </row>
    <row r="154" spans="2:23" x14ac:dyDescent="0.45">
      <c r="B154" t="s">
        <v>316</v>
      </c>
    </row>
    <row r="155" spans="2:23" x14ac:dyDescent="0.45">
      <c r="B155" t="s">
        <v>338</v>
      </c>
      <c r="F155" t="s">
        <v>340</v>
      </c>
    </row>
    <row r="156" spans="2:23" x14ac:dyDescent="0.45">
      <c r="B156" t="s">
        <v>337</v>
      </c>
      <c r="G156" t="s">
        <v>341</v>
      </c>
    </row>
    <row r="157" spans="2:23" x14ac:dyDescent="0.45">
      <c r="B157" t="s">
        <v>339</v>
      </c>
    </row>
    <row r="159" spans="2:23" x14ac:dyDescent="0.45">
      <c r="B159" t="s">
        <v>320</v>
      </c>
    </row>
    <row r="160" spans="2:23" x14ac:dyDescent="0.45">
      <c r="B160" t="s">
        <v>321</v>
      </c>
    </row>
    <row r="161" spans="2:2" x14ac:dyDescent="0.45">
      <c r="B161" t="s">
        <v>323</v>
      </c>
    </row>
    <row r="162" spans="2:2" x14ac:dyDescent="0.45">
      <c r="B162" t="s">
        <v>324</v>
      </c>
    </row>
  </sheetData>
  <mergeCells count="67">
    <mergeCell ref="B3:D3"/>
    <mergeCell ref="M17:O17"/>
    <mergeCell ref="P17:R17"/>
    <mergeCell ref="J19:L19"/>
    <mergeCell ref="M19:O19"/>
    <mergeCell ref="P19:U19"/>
    <mergeCell ref="G3:K3"/>
    <mergeCell ref="L42:Q42"/>
    <mergeCell ref="R42:U42"/>
    <mergeCell ref="M50:O50"/>
    <mergeCell ref="P50:R50"/>
    <mergeCell ref="M40:O40"/>
    <mergeCell ref="P40:R40"/>
    <mergeCell ref="M30:O30"/>
    <mergeCell ref="P30:R30"/>
    <mergeCell ref="J32:K32"/>
    <mergeCell ref="L32:M32"/>
    <mergeCell ref="N32:P32"/>
    <mergeCell ref="Q32:U32"/>
    <mergeCell ref="J52:K52"/>
    <mergeCell ref="L52:M52"/>
    <mergeCell ref="N52:P52"/>
    <mergeCell ref="Q52:U52"/>
    <mergeCell ref="M59:O59"/>
    <mergeCell ref="P59:R59"/>
    <mergeCell ref="J81:K81"/>
    <mergeCell ref="L81:M81"/>
    <mergeCell ref="N81:P81"/>
    <mergeCell ref="Q81:U81"/>
    <mergeCell ref="J61:Q61"/>
    <mergeCell ref="R61:U61"/>
    <mergeCell ref="M69:O69"/>
    <mergeCell ref="P69:R69"/>
    <mergeCell ref="J71:L71"/>
    <mergeCell ref="M71:O71"/>
    <mergeCell ref="P71:U71"/>
    <mergeCell ref="M90:O90"/>
    <mergeCell ref="P90:R90"/>
    <mergeCell ref="R92:S92"/>
    <mergeCell ref="T92:U92"/>
    <mergeCell ref="M79:O79"/>
    <mergeCell ref="P79:R79"/>
    <mergeCell ref="L95:U95"/>
    <mergeCell ref="Q94:U94"/>
    <mergeCell ref="M104:O104"/>
    <mergeCell ref="P104:R104"/>
    <mergeCell ref="R106:S106"/>
    <mergeCell ref="T106:U106"/>
    <mergeCell ref="L109:U109"/>
    <mergeCell ref="M108:U108"/>
    <mergeCell ref="M117:O117"/>
    <mergeCell ref="P117:R117"/>
    <mergeCell ref="J119:U119"/>
    <mergeCell ref="J150:M150"/>
    <mergeCell ref="J151:M151"/>
    <mergeCell ref="J122:U122"/>
    <mergeCell ref="J125:U125"/>
    <mergeCell ref="N121:U121"/>
    <mergeCell ref="N124:U124"/>
    <mergeCell ref="N127:U127"/>
    <mergeCell ref="M145:O145"/>
    <mergeCell ref="P145:R145"/>
    <mergeCell ref="N147:U147"/>
    <mergeCell ref="N148:U148"/>
    <mergeCell ref="N149:U149"/>
    <mergeCell ref="N150:U150"/>
    <mergeCell ref="N151:U151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xcel.Sheet.12" dvAspect="DVASPECT_ICON" shapeId="1025" r:id="rId4">
          <objectPr defaultSize="0" r:id="rId5">
            <anchor moveWithCells="1">
              <from>
                <xdr:col>10</xdr:col>
                <xdr:colOff>0</xdr:colOff>
                <xdr:row>23</xdr:row>
                <xdr:rowOff>0</xdr:rowOff>
              </from>
              <to>
                <xdr:col>10</xdr:col>
                <xdr:colOff>381000</xdr:colOff>
                <xdr:row>26</xdr:row>
                <xdr:rowOff>158750</xdr:rowOff>
              </to>
            </anchor>
          </objectPr>
        </oleObject>
      </mc:Choice>
      <mc:Fallback>
        <oleObject progId="Excel.Sheet.12" dvAspect="DVASPECT_ICON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RegisterTable</vt:lpstr>
      <vt:lpstr>TrimProcedure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대성</dc:creator>
  <cp:lastModifiedBy>malon088@naver.com</cp:lastModifiedBy>
  <dcterms:created xsi:type="dcterms:W3CDTF">2024-07-10T08:09:49Z</dcterms:created>
  <dcterms:modified xsi:type="dcterms:W3CDTF">2024-07-11T08:42:29Z</dcterms:modified>
</cp:coreProperties>
</file>