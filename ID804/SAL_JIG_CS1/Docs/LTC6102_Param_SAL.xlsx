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ing\01_Project\Jig\SAL_JIG\SAL_JIG_CS1\Docs\"/>
    </mc:Choice>
  </mc:AlternateContent>
  <xr:revisionPtr revIDLastSave="0" documentId="13_ncr:1_{8B1D94F3-7321-45D0-B5DD-D22652451BB1}" xr6:coauthVersionLast="47" xr6:coauthVersionMax="47" xr10:uidLastSave="{00000000-0000-0000-0000-000000000000}"/>
  <bookViews>
    <workbookView xWindow="-98" yWindow="-98" windowWidth="21795" windowHeight="12975" xr2:uid="{11FFDA7F-9C68-49B0-9D76-D5DA7C94FBB9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4" i="2" l="1"/>
  <c r="X24" i="2" s="1"/>
  <c r="Y24" i="2" s="1"/>
  <c r="Z24" i="2" s="1"/>
  <c r="E10" i="2"/>
  <c r="E9" i="2"/>
  <c r="D10" i="2"/>
  <c r="F10" i="2" s="1"/>
  <c r="D9" i="2"/>
  <c r="F9" i="2" s="1"/>
  <c r="D22" i="2"/>
  <c r="D24" i="2"/>
  <c r="D21" i="2"/>
  <c r="C23" i="2"/>
  <c r="D23" i="2" s="1"/>
  <c r="E23" i="2" s="1"/>
  <c r="F23" i="2" s="1"/>
  <c r="X5" i="2"/>
  <c r="Y5" i="2" s="1"/>
  <c r="Z5" i="2" s="1"/>
  <c r="X6" i="2"/>
  <c r="Y6" i="2" s="1"/>
  <c r="Z6" i="2" s="1"/>
  <c r="X7" i="2"/>
  <c r="Y7" i="2" s="1"/>
  <c r="Z7" i="2" s="1"/>
  <c r="X8" i="2"/>
  <c r="Y8" i="2" s="1"/>
  <c r="Z8" i="2" s="1"/>
  <c r="X9" i="2"/>
  <c r="Y9" i="2" s="1"/>
  <c r="Z9" i="2" s="1"/>
  <c r="X10" i="2"/>
  <c r="X11" i="2"/>
  <c r="X12" i="2"/>
  <c r="Y12" i="2" s="1"/>
  <c r="Z12" i="2" s="1"/>
  <c r="X13" i="2"/>
  <c r="Y13" i="2" s="1"/>
  <c r="Z13" i="2" s="1"/>
  <c r="X14" i="2"/>
  <c r="Y14" i="2" s="1"/>
  <c r="Z14" i="2" s="1"/>
  <c r="X15" i="2"/>
  <c r="Y15" i="2" s="1"/>
  <c r="Z15" i="2" s="1"/>
  <c r="X16" i="2"/>
  <c r="Y16" i="2" s="1"/>
  <c r="Z16" i="2" s="1"/>
  <c r="X17" i="2"/>
  <c r="Y17" i="2" s="1"/>
  <c r="Z17" i="2" s="1"/>
  <c r="X18" i="2"/>
  <c r="Y18" i="2" s="1"/>
  <c r="Z18" i="2" s="1"/>
  <c r="X19" i="2"/>
  <c r="Y19" i="2" s="1"/>
  <c r="Z19" i="2" s="1"/>
  <c r="X20" i="2"/>
  <c r="Y20" i="2" s="1"/>
  <c r="Z20" i="2" s="1"/>
  <c r="X21" i="2"/>
  <c r="Y21" i="2" s="1"/>
  <c r="Z21" i="2" s="1"/>
  <c r="X22" i="2"/>
  <c r="Y22" i="2" s="1"/>
  <c r="Z22" i="2" s="1"/>
  <c r="X23" i="2"/>
  <c r="Y23" i="2" s="1"/>
  <c r="Z23" i="2" s="1"/>
  <c r="X25" i="2"/>
  <c r="Y25" i="2" s="1"/>
  <c r="Z25" i="2" s="1"/>
  <c r="X26" i="2"/>
  <c r="Y26" i="2" s="1"/>
  <c r="Z26" i="2" s="1"/>
  <c r="X27" i="2"/>
  <c r="X4" i="2"/>
  <c r="R5" i="2"/>
  <c r="S5" i="2" s="1"/>
  <c r="T5" i="2" s="1"/>
  <c r="R6" i="2"/>
  <c r="S6" i="2" s="1"/>
  <c r="T6" i="2" s="1"/>
  <c r="R7" i="2"/>
  <c r="S7" i="2" s="1"/>
  <c r="T7" i="2" s="1"/>
  <c r="R8" i="2"/>
  <c r="S8" i="2" s="1"/>
  <c r="T8" i="2" s="1"/>
  <c r="R9" i="2"/>
  <c r="S9" i="2" s="1"/>
  <c r="T9" i="2" s="1"/>
  <c r="R10" i="2"/>
  <c r="S10" i="2" s="1"/>
  <c r="T10" i="2" s="1"/>
  <c r="R11" i="2"/>
  <c r="S11" i="2" s="1"/>
  <c r="T11" i="2" s="1"/>
  <c r="R12" i="2"/>
  <c r="S12" i="2" s="1"/>
  <c r="T12" i="2" s="1"/>
  <c r="R13" i="2"/>
  <c r="S13" i="2" s="1"/>
  <c r="T13" i="2" s="1"/>
  <c r="R14" i="2"/>
  <c r="S14" i="2" s="1"/>
  <c r="T14" i="2" s="1"/>
  <c r="R15" i="2"/>
  <c r="S15" i="2" s="1"/>
  <c r="T15" i="2" s="1"/>
  <c r="R16" i="2"/>
  <c r="S16" i="2" s="1"/>
  <c r="T16" i="2" s="1"/>
  <c r="R17" i="2"/>
  <c r="S17" i="2" s="1"/>
  <c r="T17" i="2" s="1"/>
  <c r="R18" i="2"/>
  <c r="S18" i="2" s="1"/>
  <c r="T18" i="2" s="1"/>
  <c r="R19" i="2"/>
  <c r="R20" i="2"/>
  <c r="R21" i="2"/>
  <c r="S21" i="2" s="1"/>
  <c r="T21" i="2" s="1"/>
  <c r="R22" i="2"/>
  <c r="S22" i="2" s="1"/>
  <c r="T22" i="2" s="1"/>
  <c r="R23" i="2"/>
  <c r="S23" i="2" s="1"/>
  <c r="T23" i="2" s="1"/>
  <c r="R24" i="2"/>
  <c r="S24" i="2" s="1"/>
  <c r="T24" i="2" s="1"/>
  <c r="R25" i="2"/>
  <c r="S25" i="2" s="1"/>
  <c r="T25" i="2" s="1"/>
  <c r="R26" i="2"/>
  <c r="S26" i="2" s="1"/>
  <c r="T26" i="2" s="1"/>
  <c r="R27" i="2"/>
  <c r="S27" i="2" s="1"/>
  <c r="T27" i="2" s="1"/>
  <c r="R4" i="2"/>
  <c r="L5" i="2"/>
  <c r="M5" i="2" s="1"/>
  <c r="N5" i="2" s="1"/>
  <c r="L6" i="2"/>
  <c r="M6" i="2" s="1"/>
  <c r="N6" i="2" s="1"/>
  <c r="L7" i="2"/>
  <c r="M7" i="2" s="1"/>
  <c r="N7" i="2" s="1"/>
  <c r="L8" i="2"/>
  <c r="M8" i="2" s="1"/>
  <c r="N8" i="2" s="1"/>
  <c r="L9" i="2"/>
  <c r="M9" i="2" s="1"/>
  <c r="N9" i="2" s="1"/>
  <c r="L10" i="2"/>
  <c r="M10" i="2" s="1"/>
  <c r="N10" i="2" s="1"/>
  <c r="L11" i="2"/>
  <c r="M11" i="2" s="1"/>
  <c r="N11" i="2" s="1"/>
  <c r="L12" i="2"/>
  <c r="M12" i="2" s="1"/>
  <c r="N12" i="2" s="1"/>
  <c r="L13" i="2"/>
  <c r="M13" i="2" s="1"/>
  <c r="N13" i="2" s="1"/>
  <c r="L14" i="2"/>
  <c r="M14" i="2" s="1"/>
  <c r="N14" i="2" s="1"/>
  <c r="L15" i="2"/>
  <c r="M15" i="2" s="1"/>
  <c r="N15" i="2" s="1"/>
  <c r="L16" i="2"/>
  <c r="M16" i="2" s="1"/>
  <c r="N16" i="2" s="1"/>
  <c r="L17" i="2"/>
  <c r="M17" i="2" s="1"/>
  <c r="N17" i="2" s="1"/>
  <c r="L18" i="2"/>
  <c r="M18" i="2" s="1"/>
  <c r="N18" i="2" s="1"/>
  <c r="L19" i="2"/>
  <c r="M19" i="2" s="1"/>
  <c r="N19" i="2" s="1"/>
  <c r="L20" i="2"/>
  <c r="M20" i="2" s="1"/>
  <c r="N20" i="2" s="1"/>
  <c r="L21" i="2"/>
  <c r="M21" i="2" s="1"/>
  <c r="N21" i="2" s="1"/>
  <c r="L22" i="2"/>
  <c r="M22" i="2" s="1"/>
  <c r="N22" i="2" s="1"/>
  <c r="L23" i="2"/>
  <c r="M23" i="2" s="1"/>
  <c r="N23" i="2" s="1"/>
  <c r="L24" i="2"/>
  <c r="M24" i="2" s="1"/>
  <c r="N24" i="2" s="1"/>
  <c r="L25" i="2"/>
  <c r="M25" i="2" s="1"/>
  <c r="N25" i="2" s="1"/>
  <c r="L26" i="2"/>
  <c r="M26" i="2" s="1"/>
  <c r="N26" i="2" s="1"/>
  <c r="L27" i="2"/>
  <c r="M27" i="2" s="1"/>
  <c r="N27" i="2" s="1"/>
  <c r="L4" i="2"/>
  <c r="S19" i="2"/>
  <c r="T19" i="2" s="1"/>
  <c r="S20" i="2"/>
  <c r="T20" i="2" s="1"/>
  <c r="Y10" i="2"/>
  <c r="Z10" i="2" s="1"/>
  <c r="Y11" i="2"/>
  <c r="Z11" i="2" s="1"/>
  <c r="Y27" i="2"/>
  <c r="Z27" i="2" s="1"/>
  <c r="E14" i="2"/>
  <c r="E13" i="2"/>
  <c r="D14" i="2"/>
  <c r="D13" i="2"/>
  <c r="G9" i="2" l="1"/>
  <c r="G10" i="2"/>
  <c r="E24" i="2" l="1"/>
  <c r="F24" i="2" s="1"/>
  <c r="E22" i="2"/>
  <c r="F22" i="2" s="1"/>
  <c r="E21" i="2"/>
  <c r="F21" i="2" s="1"/>
  <c r="Y4" i="2"/>
  <c r="Z4" i="2" s="1"/>
  <c r="S4" i="2"/>
  <c r="T4" i="2" s="1"/>
  <c r="M4" i="2"/>
  <c r="N4" i="2" s="1"/>
  <c r="D3" i="2"/>
  <c r="AA4" i="2" l="1"/>
  <c r="O4" i="2"/>
  <c r="O8" i="2"/>
  <c r="O5" i="2"/>
  <c r="U11" i="2"/>
  <c r="AA15" i="2"/>
  <c r="U5" i="2"/>
  <c r="AA25" i="2"/>
  <c r="U13" i="2"/>
  <c r="U26" i="2"/>
  <c r="O10" i="2"/>
  <c r="O12" i="2"/>
  <c r="AA8" i="2"/>
  <c r="U10" i="2"/>
  <c r="O16" i="2"/>
  <c r="O24" i="2"/>
  <c r="O27" i="2"/>
  <c r="G23" i="2"/>
  <c r="O26" i="2"/>
  <c r="U24" i="2"/>
  <c r="O23" i="2"/>
  <c r="O17" i="2"/>
  <c r="AA20" i="2"/>
  <c r="AA26" i="2"/>
  <c r="AA21" i="2"/>
  <c r="O7" i="2"/>
  <c r="U21" i="2"/>
  <c r="O11" i="2"/>
  <c r="AA11" i="2"/>
  <c r="AA27" i="2"/>
  <c r="AA22" i="2"/>
  <c r="U16" i="2"/>
  <c r="U8" i="2"/>
  <c r="O22" i="2"/>
  <c r="U18" i="2"/>
  <c r="AA10" i="2"/>
  <c r="U20" i="2"/>
  <c r="U14" i="2"/>
  <c r="AA5" i="2"/>
  <c r="U6" i="2"/>
  <c r="AA13" i="2"/>
  <c r="U23" i="2"/>
  <c r="AA9" i="2"/>
  <c r="U12" i="2"/>
  <c r="AA16" i="2"/>
  <c r="O20" i="2"/>
  <c r="AA23" i="2"/>
  <c r="U27" i="2"/>
  <c r="AA19" i="2"/>
  <c r="U19" i="2"/>
  <c r="O18" i="2"/>
  <c r="O14" i="2"/>
  <c r="U22" i="2"/>
  <c r="AA7" i="2"/>
  <c r="AA14" i="2"/>
  <c r="AA17" i="2"/>
  <c r="O15" i="2"/>
  <c r="O13" i="2"/>
  <c r="O9" i="2"/>
  <c r="U25" i="2"/>
  <c r="O25" i="2"/>
  <c r="U7" i="2"/>
  <c r="AA6" i="2"/>
  <c r="U15" i="2"/>
  <c r="AA24" i="2"/>
  <c r="O19" i="2"/>
  <c r="AA18" i="2"/>
  <c r="O6" i="2"/>
  <c r="AA12" i="2"/>
  <c r="U9" i="2"/>
  <c r="U17" i="2"/>
  <c r="O21" i="2"/>
  <c r="U4" i="2"/>
  <c r="F3" i="2"/>
  <c r="I9" i="2"/>
  <c r="I10" i="2"/>
  <c r="G22" i="2"/>
  <c r="G24" i="2"/>
  <c r="H10" i="2"/>
  <c r="F14" i="2" s="1"/>
  <c r="G21" i="2"/>
  <c r="H9" i="2"/>
  <c r="F1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tc={38430E89-B0B1-45EA-A5B6-F6C1B0BA11B3}</author>
    <author>tc={CB0D3CC0-A1B6-4A6E-9371-C1371B0572F3}</author>
    <author>tc={57C68BC7-40AB-445E-8043-993268F71BA9}</author>
    <author>tc={448F1C05-5EE3-4D8D-ACA0-15A31E4BEA2A}</author>
    <author>tc={FFB82C01-707C-4876-ADBB-BD07CEA0C5EF}</author>
  </authors>
  <commentList>
    <comment ref="D6" authorId="0" shapeId="0" xr:uid="{38430E89-B0B1-45EA-A5B6-F6C1B0BA11B3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130 병렬</t>
      </text>
    </comment>
    <comment ref="D9" authorId="1" shapeId="0" xr:uid="{CB0D3CC0-A1B6-4A6E-9371-C1371B0572F3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Under 2V</t>
      </text>
    </comment>
    <comment ref="E9" authorId="2" shapeId="0" xr:uid="{57C68BC7-40AB-445E-8043-993268F71BA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Under 1mA</t>
      </text>
    </comment>
    <comment ref="F9" authorId="3" shapeId="0" xr:uid="{448F1C05-5EE3-4D8D-ACA0-15A31E4BEA2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Under 3V</t>
      </text>
    </comment>
    <comment ref="F13" authorId="4" shapeId="0" xr:uid="{FFB82C01-707C-4876-ADBB-BD07CEA0C5EF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@ Gain = Low</t>
      </text>
    </comment>
  </commentList>
</comments>
</file>

<file path=xl/sharedStrings.xml><?xml version="1.0" encoding="utf-8"?>
<sst xmlns="http://schemas.openxmlformats.org/spreadsheetml/2006/main" count="59" uniqueCount="35">
  <si>
    <t>Rin</t>
    <phoneticPr fontId="1" type="noConversion"/>
  </si>
  <si>
    <t>Is</t>
    <phoneticPr fontId="1" type="noConversion"/>
  </si>
  <si>
    <t>Vs</t>
    <phoneticPr fontId="1" type="noConversion"/>
  </si>
  <si>
    <t>Vo</t>
    <phoneticPr fontId="1" type="noConversion"/>
  </si>
  <si>
    <t>Io</t>
    <phoneticPr fontId="1" type="noConversion"/>
  </si>
  <si>
    <t>Input Offset</t>
    <phoneticPr fontId="1" type="noConversion"/>
  </si>
  <si>
    <t>Vout</t>
    <phoneticPr fontId="1" type="noConversion"/>
  </si>
  <si>
    <t>Is_resolution</t>
    <phoneticPr fontId="1" type="noConversion"/>
  </si>
  <si>
    <t>V+</t>
    <phoneticPr fontId="1" type="noConversion"/>
  </si>
  <si>
    <t>PWM</t>
    <phoneticPr fontId="1" type="noConversion"/>
  </si>
  <si>
    <t>Io_max</t>
    <phoneticPr fontId="1" type="noConversion"/>
  </si>
  <si>
    <t>Gain</t>
    <phoneticPr fontId="1" type="noConversion"/>
  </si>
  <si>
    <t>Gain high</t>
    <phoneticPr fontId="1" type="noConversion"/>
  </si>
  <si>
    <t>Gain mid</t>
    <phoneticPr fontId="1" type="noConversion"/>
  </si>
  <si>
    <t>Gain low</t>
    <phoneticPr fontId="1" type="noConversion"/>
  </si>
  <si>
    <t>high</t>
    <phoneticPr fontId="1" type="noConversion"/>
  </si>
  <si>
    <t>low</t>
    <phoneticPr fontId="1" type="noConversion"/>
  </si>
  <si>
    <t>Target</t>
    <phoneticPr fontId="1" type="noConversion"/>
  </si>
  <si>
    <t>Trimming</t>
    <phoneticPr fontId="1" type="noConversion"/>
  </si>
  <si>
    <t>Is_max</t>
    <phoneticPr fontId="1" type="noConversion"/>
  </si>
  <si>
    <t>adc</t>
    <phoneticPr fontId="1" type="noConversion"/>
  </si>
  <si>
    <t>adc_ref</t>
    <phoneticPr fontId="1" type="noConversion"/>
  </si>
  <si>
    <t>adc_resolution</t>
    <phoneticPr fontId="1" type="noConversion"/>
  </si>
  <si>
    <t>Rs_low</t>
    <phoneticPr fontId="1" type="noConversion"/>
  </si>
  <si>
    <t>Rs_mid</t>
    <phoneticPr fontId="1" type="noConversion"/>
  </si>
  <si>
    <t>Rs_high</t>
    <phoneticPr fontId="1" type="noConversion"/>
  </si>
  <si>
    <t>Rout</t>
    <phoneticPr fontId="1" type="noConversion"/>
  </si>
  <si>
    <t>ofs_p1</t>
    <phoneticPr fontId="1" type="noConversion"/>
  </si>
  <si>
    <t>ofs_p2</t>
    <phoneticPr fontId="1" type="noConversion"/>
  </si>
  <si>
    <t>gain</t>
    <phoneticPr fontId="1" type="noConversion"/>
  </si>
  <si>
    <t>ofs_avg</t>
    <phoneticPr fontId="1" type="noConversion"/>
  </si>
  <si>
    <t>max curr</t>
    <phoneticPr fontId="1" type="noConversion"/>
  </si>
  <si>
    <t>resolution</t>
    <phoneticPr fontId="1" type="noConversion"/>
  </si>
  <si>
    <t>Ps</t>
    <phoneticPr fontId="1" type="noConversion"/>
  </si>
  <si>
    <t>SAL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</si>
</sst>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76" formatCode="0&quot;mA&quot;"/>
    <numFmt numFmtId="177" formatCode="0.000&quot;V&quot;"/>
    <numFmt numFmtId="178" formatCode="0.0&quot;mA&quot;"/>
    <numFmt numFmtId="179" formatCode="0.000&quot;mA&quot;"/>
    <numFmt numFmtId="180" formatCode="0.0000&quot;mV&quot;"/>
    <numFmt numFmtId="181" formatCode="0.000&quot;uA&quot;"/>
    <numFmt numFmtId="182" formatCode="0.0000&quot;uA&quot;"/>
    <numFmt numFmtId="183" formatCode="0&quot;uV&quot;"/>
    <numFmt numFmtId="184" formatCode="0.0000&quot;V&quot;"/>
    <numFmt numFmtId="185" formatCode="0&quot;Ω&quot;"/>
    <numFmt numFmtId="186" formatCode="0.00&quot;mV&quot;"/>
    <numFmt numFmtId="187" formatCode="0&quot;V&quot;"/>
    <numFmt numFmtId="188" formatCode="0&quot;uA&quot;"/>
    <numFmt numFmtId="189" formatCode="0.000&quot;uV&quot;"/>
    <numFmt numFmtId="190" formatCode="0.000&quot;mV&quot;"/>
    <numFmt numFmtId="193" formatCode="0.0&quot;Ω&quot;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182" fontId="0" fillId="0" borderId="0" xfId="0" applyNumberFormat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183" fontId="0" fillId="0" borderId="0" xfId="0" applyNumberFormat="1" applyAlignment="1">
      <alignment horizontal="center" vertical="center"/>
    </xf>
    <xf numFmtId="184" fontId="0" fillId="0" borderId="0" xfId="0" applyNumberFormat="1" applyAlignment="1">
      <alignment horizontal="center" vertical="center"/>
    </xf>
    <xf numFmtId="185" fontId="0" fillId="0" borderId="0" xfId="0" applyNumberFormat="1" applyAlignment="1">
      <alignment horizontal="center" vertical="center"/>
    </xf>
    <xf numFmtId="186" fontId="0" fillId="0" borderId="0" xfId="0" applyNumberFormat="1" applyAlignment="1">
      <alignment horizontal="center" vertical="center"/>
    </xf>
    <xf numFmtId="187" fontId="0" fillId="0" borderId="0" xfId="0" applyNumberFormat="1" applyAlignment="1">
      <alignment horizontal="center" vertical="center"/>
    </xf>
    <xf numFmtId="188" fontId="0" fillId="0" borderId="0" xfId="0" applyNumberFormat="1" applyAlignment="1">
      <alignment horizontal="center" vertical="center"/>
    </xf>
    <xf numFmtId="189" fontId="0" fillId="0" borderId="0" xfId="0" applyNumberFormat="1" applyAlignment="1">
      <alignment horizontal="center" vertical="center"/>
    </xf>
    <xf numFmtId="190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left" vertical="center"/>
    </xf>
    <xf numFmtId="1" fontId="0" fillId="0" borderId="0" xfId="0" applyNumberFormat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193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Continuous" vertical="center"/>
    </xf>
    <xf numFmtId="176" fontId="0" fillId="2" borderId="0" xfId="0" applyNumberFormat="1" applyFill="1" applyAlignment="1">
      <alignment horizontal="center" vertical="center"/>
    </xf>
    <xf numFmtId="185" fontId="0" fillId="3" borderId="0" xfId="0" applyNumberFormat="1" applyFill="1" applyAlignment="1">
      <alignment horizontal="center" vertical="center"/>
    </xf>
  </cellXfs>
  <cellStyles count="2">
    <cellStyle name="백분율" xfId="1" builtinId="5"/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박 찬근" id="{4081A92B-72FB-47C6-88FB-E96E79BC84DD}" userId="S::cgpark@solutionkorea.onmicrosoft.com::ba1dcece-3a6d-4af6-a25f-82ca825ed223" providerId="AD"/>
  <person displayName="이 준영" id="{F2846A85-6A85-4C35-B044-DD791C885369}" userId="S::jy.lee@solutionkorea.onmicrosoft.com::12b76314-354e-4dfd-8d1b-a7478f8747f1" providerId="AD"/>
</personList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6" dT="2024-07-17T06:55:45.40" personId="{4081A92B-72FB-47C6-88FB-E96E79BC84DD}" id="{38430E89-B0B1-45EA-A5B6-F6C1B0BA11B3}">
    <text>130 병렬</text>
  </threadedComment>
  <threadedComment ref="D9" dT="2024-01-31T07:08:09.58" personId="{F2846A85-6A85-4C35-B044-DD791C885369}" id="{CB0D3CC0-A1B6-4A6E-9371-C1371B0572F3}">
    <text>Under 2V</text>
  </threadedComment>
  <threadedComment ref="E9" dT="2024-01-29T02:28:58.50" personId="{F2846A85-6A85-4C35-B044-DD791C885369}" id="{57C68BC7-40AB-445E-8043-993268F71BA9}">
    <text>Under 1mA</text>
  </threadedComment>
  <threadedComment ref="F9" dT="2024-01-29T02:33:49.51" personId="{F2846A85-6A85-4C35-B044-DD791C885369}" id="{448F1C05-5EE3-4D8D-ACA0-15A31E4BEA2A}">
    <text>Under 3V</text>
  </threadedComment>
  <threadedComment ref="F13" dT="2024-03-04T08:47:25.65" personId="{F2846A85-6A85-4C35-B044-DD791C885369}" id="{FFB82C01-707C-4876-ADBB-BD07CEA0C5EF}">
    <text>@ Gain = Low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A8D16-4342-49FF-83F1-3C8221F853B6}">
  <dimension ref="A1:AA73"/>
  <sheetViews>
    <sheetView tabSelected="1" zoomScale="85" zoomScaleNormal="85" workbookViewId="0"/>
  </sheetViews>
  <sheetFormatPr defaultColWidth="9" defaultRowHeight="16.899999999999999" x14ac:dyDescent="0.6"/>
  <cols>
    <col min="1" max="1" width="2.5625" style="1" customWidth="1"/>
    <col min="2" max="2" width="9.5625" style="1" bestFit="1" customWidth="1"/>
    <col min="3" max="3" width="11.9375" style="1" bestFit="1" customWidth="1"/>
    <col min="4" max="4" width="11.6875" style="1" bestFit="1" customWidth="1"/>
    <col min="5" max="5" width="11.1875" style="1" bestFit="1" customWidth="1"/>
    <col min="6" max="6" width="15.0625" style="1" bestFit="1" customWidth="1"/>
    <col min="7" max="7" width="14.0625" style="1" bestFit="1" customWidth="1"/>
    <col min="8" max="9" width="14.0625" style="1" customWidth="1"/>
    <col min="10" max="10" width="2.5625" style="1" customWidth="1"/>
    <col min="11" max="11" width="6.9375" style="1" bestFit="1" customWidth="1"/>
    <col min="12" max="12" width="11.6875" style="1" bestFit="1" customWidth="1"/>
    <col min="13" max="13" width="14.0625" style="1" bestFit="1" customWidth="1"/>
    <col min="14" max="14" width="10.0625" style="1" bestFit="1" customWidth="1"/>
    <col min="15" max="15" width="6.9375" style="1" customWidth="1"/>
    <col min="16" max="16" width="2.5625" style="1" customWidth="1"/>
    <col min="17" max="17" width="6.9375" style="1" bestFit="1" customWidth="1"/>
    <col min="18" max="18" width="11.6875" style="1" bestFit="1" customWidth="1"/>
    <col min="19" max="19" width="14.0625" style="1" bestFit="1" customWidth="1"/>
    <col min="20" max="20" width="11.1875" style="1" bestFit="1" customWidth="1"/>
    <col min="21" max="21" width="6.9375" style="1" customWidth="1"/>
    <col min="22" max="22" width="2.5625" style="1" customWidth="1"/>
    <col min="23" max="23" width="6.0625" style="1" bestFit="1" customWidth="1"/>
    <col min="24" max="24" width="10.5625" style="1" bestFit="1" customWidth="1"/>
    <col min="25" max="25" width="12.9375" style="1" bestFit="1" customWidth="1"/>
    <col min="26" max="26" width="11.1875" style="1" bestFit="1" customWidth="1"/>
    <col min="27" max="27" width="6.9375" style="1" bestFit="1" customWidth="1"/>
    <col min="28" max="16384" width="9" style="1"/>
  </cols>
  <sheetData>
    <row r="1" spans="1:27" x14ac:dyDescent="0.6">
      <c r="A1"/>
    </row>
    <row r="2" spans="1:27" x14ac:dyDescent="0.6">
      <c r="B2" s="7" t="s">
        <v>34</v>
      </c>
      <c r="C2" s="7" t="s">
        <v>10</v>
      </c>
      <c r="D2" s="7" t="s">
        <v>20</v>
      </c>
      <c r="E2" s="7" t="s">
        <v>21</v>
      </c>
      <c r="F2" s="7" t="s">
        <v>22</v>
      </c>
      <c r="G2" s="7" t="s">
        <v>8</v>
      </c>
      <c r="K2" s="23">
        <v>8</v>
      </c>
      <c r="L2" s="22" t="s">
        <v>12</v>
      </c>
      <c r="M2" s="22"/>
      <c r="N2" s="22"/>
      <c r="O2" s="22"/>
      <c r="Q2" s="23">
        <v>8</v>
      </c>
      <c r="R2" s="22" t="s">
        <v>13</v>
      </c>
      <c r="S2" s="22"/>
      <c r="T2" s="22"/>
      <c r="U2" s="22"/>
      <c r="W2" s="23">
        <v>8</v>
      </c>
      <c r="X2" s="22" t="s">
        <v>14</v>
      </c>
      <c r="Y2" s="22"/>
      <c r="Z2" s="22"/>
      <c r="AA2" s="22"/>
    </row>
    <row r="3" spans="1:27" x14ac:dyDescent="0.6">
      <c r="B3" s="1">
        <v>65535</v>
      </c>
      <c r="C3" s="15">
        <v>8000</v>
      </c>
      <c r="D3" s="1">
        <f>2^15-1</f>
        <v>32767</v>
      </c>
      <c r="E3" s="14">
        <v>5</v>
      </c>
      <c r="F3" s="3">
        <f>E3/D3*1000</f>
        <v>0.15259254737998595</v>
      </c>
      <c r="G3" s="2">
        <v>5</v>
      </c>
      <c r="K3" s="7" t="s">
        <v>9</v>
      </c>
      <c r="L3" s="7" t="s">
        <v>1</v>
      </c>
      <c r="M3" s="7" t="s">
        <v>2</v>
      </c>
      <c r="N3" s="7" t="s">
        <v>3</v>
      </c>
      <c r="O3" s="7" t="s">
        <v>20</v>
      </c>
      <c r="Q3" s="7" t="s">
        <v>9</v>
      </c>
      <c r="R3" s="7" t="s">
        <v>1</v>
      </c>
      <c r="S3" s="7" t="s">
        <v>2</v>
      </c>
      <c r="T3" s="7" t="s">
        <v>3</v>
      </c>
      <c r="U3" s="7" t="s">
        <v>20</v>
      </c>
      <c r="W3" s="7" t="s">
        <v>9</v>
      </c>
      <c r="X3" s="7" t="s">
        <v>1</v>
      </c>
      <c r="Y3" s="7" t="s">
        <v>2</v>
      </c>
      <c r="Z3" s="7" t="s">
        <v>3</v>
      </c>
      <c r="AA3" s="7" t="s">
        <v>20</v>
      </c>
    </row>
    <row r="4" spans="1:27" x14ac:dyDescent="0.6">
      <c r="K4" s="7">
        <v>0</v>
      </c>
      <c r="L4" s="9">
        <f>$K$2*1000*K4/65535</f>
        <v>0</v>
      </c>
      <c r="M4" s="17">
        <f t="shared" ref="M4:M27" si="0">L4*$D$6/1000</f>
        <v>0</v>
      </c>
      <c r="N4" s="13">
        <f t="shared" ref="N4:N27" si="1">M4/$E$6*$F$6</f>
        <v>0</v>
      </c>
      <c r="O4" s="1">
        <f>ROUND((N4/1000)/$E$3*$D$3, 0)</f>
        <v>0</v>
      </c>
      <c r="Q4" s="7">
        <v>0</v>
      </c>
      <c r="R4" s="9">
        <f>$Q$2*1000*Q4/65535</f>
        <v>0</v>
      </c>
      <c r="S4" s="17">
        <f t="shared" ref="S4:S27" si="2">R4*$C$6/1000</f>
        <v>0</v>
      </c>
      <c r="T4" s="13">
        <f t="shared" ref="T4:T27" si="3">S4/$E$6*$F$6</f>
        <v>0</v>
      </c>
      <c r="U4" s="1">
        <f>ROUND((T4/1000)/$E$3*$D$3, 0)</f>
        <v>0</v>
      </c>
      <c r="W4" s="7">
        <v>0</v>
      </c>
      <c r="X4" s="9">
        <f>$W$2*1000*W4/65535</f>
        <v>0</v>
      </c>
      <c r="Y4" s="17">
        <f t="shared" ref="Y4:Y27" si="4">X4*$B$6/1000</f>
        <v>0</v>
      </c>
      <c r="Z4" s="13">
        <f t="shared" ref="Z4:Z27" si="5">Y4/$E$6*$F$6</f>
        <v>0</v>
      </c>
      <c r="AA4" s="1">
        <f>ROUND((Z4/1000)/$E$3*$D$3, 0)</f>
        <v>0</v>
      </c>
    </row>
    <row r="5" spans="1:27" x14ac:dyDescent="0.6">
      <c r="B5" s="7" t="s">
        <v>23</v>
      </c>
      <c r="C5" s="7" t="s">
        <v>24</v>
      </c>
      <c r="D5" s="7" t="s">
        <v>25</v>
      </c>
      <c r="E5" s="7" t="s">
        <v>0</v>
      </c>
      <c r="F5" s="7" t="s">
        <v>26</v>
      </c>
      <c r="K5" s="7">
        <v>1</v>
      </c>
      <c r="L5" s="9">
        <f t="shared" ref="L5:L27" si="6">$K$2*1000*K5/65535</f>
        <v>0.12207217517357137</v>
      </c>
      <c r="M5" s="17">
        <f t="shared" si="0"/>
        <v>7.9346913862821389E-3</v>
      </c>
      <c r="N5" s="13">
        <f t="shared" si="1"/>
        <v>1.1902037079423208E-2</v>
      </c>
      <c r="O5" s="1">
        <f t="shared" ref="O5:O27" si="7">ROUND((N5/1000)/$E$3*$D$3, 0)</f>
        <v>0</v>
      </c>
      <c r="Q5" s="7">
        <v>1</v>
      </c>
      <c r="R5" s="9">
        <f t="shared" ref="R5:R27" si="8">$Q$2*1000*Q5/65535</f>
        <v>0.12207217517357137</v>
      </c>
      <c r="S5" s="17">
        <f t="shared" si="2"/>
        <v>0</v>
      </c>
      <c r="T5" s="13">
        <f t="shared" si="3"/>
        <v>0</v>
      </c>
      <c r="U5" s="1">
        <f t="shared" ref="U5:U27" si="9">ROUND((T5/1000)/$E$3*$D$3, 0)</f>
        <v>0</v>
      </c>
      <c r="W5" s="7">
        <v>1</v>
      </c>
      <c r="X5" s="9">
        <f t="shared" ref="X5:X27" si="10">$W$2*1000*W5/65535</f>
        <v>0.12207217517357137</v>
      </c>
      <c r="Y5" s="17">
        <f t="shared" si="4"/>
        <v>2.4414435034714275E-2</v>
      </c>
      <c r="Z5" s="13">
        <f t="shared" si="5"/>
        <v>3.6621652552071414E-2</v>
      </c>
      <c r="AA5" s="1">
        <f t="shared" ref="AA5:AA27" si="11">ROUND((Z5/1000)/$E$3*$D$3, 0)</f>
        <v>0</v>
      </c>
    </row>
    <row r="6" spans="1:27" x14ac:dyDescent="0.6">
      <c r="B6" s="24">
        <v>200</v>
      </c>
      <c r="C6" s="12"/>
      <c r="D6" s="24">
        <v>65</v>
      </c>
      <c r="E6" s="21">
        <v>2200</v>
      </c>
      <c r="F6" s="21">
        <v>3300</v>
      </c>
      <c r="K6" s="7">
        <v>2</v>
      </c>
      <c r="L6" s="9">
        <f t="shared" si="6"/>
        <v>0.24414435034714274</v>
      </c>
      <c r="M6" s="17">
        <f t="shared" si="0"/>
        <v>1.5869382772564278E-2</v>
      </c>
      <c r="N6" s="13">
        <f t="shared" si="1"/>
        <v>2.3804074158846417E-2</v>
      </c>
      <c r="O6" s="1">
        <f t="shared" si="7"/>
        <v>0</v>
      </c>
      <c r="Q6" s="7">
        <v>2</v>
      </c>
      <c r="R6" s="9">
        <f t="shared" si="8"/>
        <v>0.24414435034714274</v>
      </c>
      <c r="S6" s="17">
        <f t="shared" si="2"/>
        <v>0</v>
      </c>
      <c r="T6" s="13">
        <f t="shared" si="3"/>
        <v>0</v>
      </c>
      <c r="U6" s="1">
        <f t="shared" si="9"/>
        <v>0</v>
      </c>
      <c r="W6" s="7">
        <v>2</v>
      </c>
      <c r="X6" s="9">
        <f t="shared" si="10"/>
        <v>0.24414435034714274</v>
      </c>
      <c r="Y6" s="17">
        <f t="shared" si="4"/>
        <v>4.882887006942855E-2</v>
      </c>
      <c r="Z6" s="13">
        <f t="shared" si="5"/>
        <v>7.3243305104142828E-2</v>
      </c>
      <c r="AA6" s="1">
        <f t="shared" si="11"/>
        <v>0</v>
      </c>
    </row>
    <row r="7" spans="1:27" x14ac:dyDescent="0.6">
      <c r="K7" s="7">
        <v>3</v>
      </c>
      <c r="L7" s="9">
        <f t="shared" si="6"/>
        <v>0.3662165255207141</v>
      </c>
      <c r="M7" s="17">
        <f t="shared" si="0"/>
        <v>2.3804074158846417E-2</v>
      </c>
      <c r="N7" s="13">
        <f t="shared" si="1"/>
        <v>3.5706111238269625E-2</v>
      </c>
      <c r="O7" s="1">
        <f t="shared" si="7"/>
        <v>0</v>
      </c>
      <c r="Q7" s="7">
        <v>3</v>
      </c>
      <c r="R7" s="9">
        <f t="shared" si="8"/>
        <v>0.3662165255207141</v>
      </c>
      <c r="S7" s="17">
        <f t="shared" si="2"/>
        <v>0</v>
      </c>
      <c r="T7" s="13">
        <f t="shared" si="3"/>
        <v>0</v>
      </c>
      <c r="U7" s="1">
        <f t="shared" si="9"/>
        <v>0</v>
      </c>
      <c r="W7" s="7">
        <v>3</v>
      </c>
      <c r="X7" s="9">
        <f t="shared" si="10"/>
        <v>0.3662165255207141</v>
      </c>
      <c r="Y7" s="17">
        <f t="shared" si="4"/>
        <v>7.3243305104142814E-2</v>
      </c>
      <c r="Z7" s="13">
        <f t="shared" si="5"/>
        <v>0.10986495765621422</v>
      </c>
      <c r="AA7" s="1">
        <f t="shared" si="11"/>
        <v>1</v>
      </c>
    </row>
    <row r="8" spans="1:27" x14ac:dyDescent="0.6">
      <c r="B8" s="7" t="s">
        <v>11</v>
      </c>
      <c r="C8" s="7" t="s">
        <v>19</v>
      </c>
      <c r="D8" s="7" t="s">
        <v>2</v>
      </c>
      <c r="E8" s="7" t="s">
        <v>4</v>
      </c>
      <c r="F8" s="7" t="s">
        <v>3</v>
      </c>
      <c r="G8" s="7" t="s">
        <v>33</v>
      </c>
      <c r="H8" s="7" t="s">
        <v>7</v>
      </c>
      <c r="I8" s="7" t="s">
        <v>20</v>
      </c>
      <c r="K8" s="7">
        <v>4</v>
      </c>
      <c r="L8" s="9">
        <f t="shared" si="6"/>
        <v>0.48828870069428548</v>
      </c>
      <c r="M8" s="17">
        <f t="shared" si="0"/>
        <v>3.1738765545128556E-2</v>
      </c>
      <c r="N8" s="13">
        <f t="shared" si="1"/>
        <v>4.7608148317692833E-2</v>
      </c>
      <c r="O8" s="1">
        <f t="shared" si="7"/>
        <v>0</v>
      </c>
      <c r="Q8" s="7">
        <v>4</v>
      </c>
      <c r="R8" s="9">
        <f t="shared" si="8"/>
        <v>0.48828870069428548</v>
      </c>
      <c r="S8" s="17">
        <f t="shared" si="2"/>
        <v>0</v>
      </c>
      <c r="T8" s="13">
        <f t="shared" si="3"/>
        <v>0</v>
      </c>
      <c r="U8" s="1">
        <f t="shared" si="9"/>
        <v>0</v>
      </c>
      <c r="W8" s="7">
        <v>4</v>
      </c>
      <c r="X8" s="9">
        <f t="shared" si="10"/>
        <v>0.48828870069428548</v>
      </c>
      <c r="Y8" s="17">
        <f t="shared" si="4"/>
        <v>9.7657740138857099E-2</v>
      </c>
      <c r="Z8" s="13">
        <f t="shared" si="5"/>
        <v>0.14648661020828566</v>
      </c>
      <c r="AA8" s="1">
        <f t="shared" si="11"/>
        <v>1</v>
      </c>
    </row>
    <row r="9" spans="1:27" x14ac:dyDescent="0.6">
      <c r="B9" s="7" t="s">
        <v>15</v>
      </c>
      <c r="C9" s="4">
        <v>30</v>
      </c>
      <c r="D9" s="11">
        <f>C9*$D$6/1000</f>
        <v>1.95</v>
      </c>
      <c r="E9" s="5">
        <f>C9*D6/$E$6</f>
        <v>0.88636363636363635</v>
      </c>
      <c r="F9" s="2">
        <f>D9/$E$6*$F$6</f>
        <v>2.9249999999999998</v>
      </c>
      <c r="G9" s="1">
        <f>$D9*$D9/D6</f>
        <v>5.8499999999999996E-2</v>
      </c>
      <c r="H9" s="8">
        <f>C9/(F9/$E$3*$D$3)*1000</f>
        <v>1.5650517679998561</v>
      </c>
      <c r="I9" s="19">
        <f>F9/$E$3*$D$3</f>
        <v>19168.695</v>
      </c>
      <c r="K9" s="7">
        <v>5</v>
      </c>
      <c r="L9" s="9">
        <f t="shared" si="6"/>
        <v>0.61036087586785692</v>
      </c>
      <c r="M9" s="17">
        <f t="shared" si="0"/>
        <v>3.9673456931410694E-2</v>
      </c>
      <c r="N9" s="13">
        <f t="shared" si="1"/>
        <v>5.9510185397116042E-2</v>
      </c>
      <c r="O9" s="1">
        <f t="shared" si="7"/>
        <v>0</v>
      </c>
      <c r="Q9" s="7">
        <v>5</v>
      </c>
      <c r="R9" s="9">
        <f t="shared" si="8"/>
        <v>0.61036087586785692</v>
      </c>
      <c r="S9" s="17">
        <f t="shared" si="2"/>
        <v>0</v>
      </c>
      <c r="T9" s="13">
        <f t="shared" si="3"/>
        <v>0</v>
      </c>
      <c r="U9" s="1">
        <f t="shared" si="9"/>
        <v>0</v>
      </c>
      <c r="W9" s="7">
        <v>5</v>
      </c>
      <c r="X9" s="9">
        <f t="shared" si="10"/>
        <v>0.61036087586785692</v>
      </c>
      <c r="Y9" s="17">
        <f t="shared" si="4"/>
        <v>0.12207217517357138</v>
      </c>
      <c r="Z9" s="13">
        <f t="shared" si="5"/>
        <v>0.18310826276035708</v>
      </c>
      <c r="AA9" s="1">
        <f t="shared" si="11"/>
        <v>1</v>
      </c>
    </row>
    <row r="10" spans="1:27" x14ac:dyDescent="0.6">
      <c r="B10" s="7" t="s">
        <v>16</v>
      </c>
      <c r="C10" s="6">
        <v>10</v>
      </c>
      <c r="D10" s="11">
        <f>C10*$B$6/1000</f>
        <v>2</v>
      </c>
      <c r="E10" s="5">
        <f>C10*B6/$E$6</f>
        <v>0.90909090909090906</v>
      </c>
      <c r="F10" s="2">
        <f>D10/$E$6*$F$6</f>
        <v>3</v>
      </c>
      <c r="G10" s="1">
        <f>$D10*$D10/B6</f>
        <v>0.02</v>
      </c>
      <c r="H10" s="8">
        <f>C10/(F10/$E$3*$D$3)*1000</f>
        <v>0.50864182459995322</v>
      </c>
      <c r="I10" s="19">
        <f>F10/$E$3*$D$3</f>
        <v>19660.2</v>
      </c>
      <c r="K10" s="7">
        <v>6</v>
      </c>
      <c r="L10" s="9">
        <f t="shared" si="6"/>
        <v>0.7324330510414282</v>
      </c>
      <c r="M10" s="17">
        <f t="shared" si="0"/>
        <v>4.7608148317692833E-2</v>
      </c>
      <c r="N10" s="13">
        <f t="shared" si="1"/>
        <v>7.141222247653925E-2</v>
      </c>
      <c r="O10" s="1">
        <f t="shared" si="7"/>
        <v>0</v>
      </c>
      <c r="Q10" s="7">
        <v>6</v>
      </c>
      <c r="R10" s="9">
        <f t="shared" si="8"/>
        <v>0.7324330510414282</v>
      </c>
      <c r="S10" s="17">
        <f t="shared" si="2"/>
        <v>0</v>
      </c>
      <c r="T10" s="13">
        <f t="shared" si="3"/>
        <v>0</v>
      </c>
      <c r="U10" s="1">
        <f t="shared" si="9"/>
        <v>0</v>
      </c>
      <c r="W10" s="7">
        <v>6</v>
      </c>
      <c r="X10" s="9">
        <f t="shared" si="10"/>
        <v>0.7324330510414282</v>
      </c>
      <c r="Y10" s="17">
        <f t="shared" si="4"/>
        <v>0.14648661020828563</v>
      </c>
      <c r="Z10" s="13">
        <f t="shared" si="5"/>
        <v>0.21972991531242844</v>
      </c>
      <c r="AA10" s="1">
        <f t="shared" si="11"/>
        <v>1</v>
      </c>
    </row>
    <row r="11" spans="1:27" x14ac:dyDescent="0.6">
      <c r="K11" s="7">
        <v>7</v>
      </c>
      <c r="L11" s="9">
        <f t="shared" si="6"/>
        <v>0.85450522621499958</v>
      </c>
      <c r="M11" s="17">
        <f t="shared" si="0"/>
        <v>5.5542839703974972E-2</v>
      </c>
      <c r="N11" s="13">
        <f t="shared" si="1"/>
        <v>8.3314259555962458E-2</v>
      </c>
      <c r="O11" s="1">
        <f t="shared" si="7"/>
        <v>1</v>
      </c>
      <c r="Q11" s="7">
        <v>7</v>
      </c>
      <c r="R11" s="9">
        <f t="shared" si="8"/>
        <v>0.85450522621499958</v>
      </c>
      <c r="S11" s="17">
        <f t="shared" si="2"/>
        <v>0</v>
      </c>
      <c r="T11" s="13">
        <f t="shared" si="3"/>
        <v>0</v>
      </c>
      <c r="U11" s="1">
        <f t="shared" si="9"/>
        <v>0</v>
      </c>
      <c r="W11" s="7">
        <v>7</v>
      </c>
      <c r="X11" s="9">
        <f t="shared" si="10"/>
        <v>0.85450522621499958</v>
      </c>
      <c r="Y11" s="17">
        <f t="shared" si="4"/>
        <v>0.17090104524299993</v>
      </c>
      <c r="Z11" s="13">
        <f t="shared" si="5"/>
        <v>0.25635156786449986</v>
      </c>
      <c r="AA11" s="1">
        <f t="shared" si="11"/>
        <v>2</v>
      </c>
    </row>
    <row r="12" spans="1:27" x14ac:dyDescent="0.6">
      <c r="B12" s="7" t="s">
        <v>11</v>
      </c>
      <c r="C12" s="7" t="s">
        <v>5</v>
      </c>
      <c r="D12" s="7" t="s">
        <v>6</v>
      </c>
      <c r="E12" s="7" t="s">
        <v>1</v>
      </c>
      <c r="F12" s="7" t="s">
        <v>20</v>
      </c>
      <c r="K12" s="7">
        <v>8</v>
      </c>
      <c r="L12" s="9">
        <f t="shared" si="6"/>
        <v>0.97657740138857096</v>
      </c>
      <c r="M12" s="17">
        <f t="shared" si="0"/>
        <v>6.3477531090257111E-2</v>
      </c>
      <c r="N12" s="13">
        <f t="shared" si="1"/>
        <v>9.5216296635385667E-2</v>
      </c>
      <c r="O12" s="1">
        <f t="shared" si="7"/>
        <v>1</v>
      </c>
      <c r="Q12" s="7">
        <v>8</v>
      </c>
      <c r="R12" s="9">
        <f t="shared" si="8"/>
        <v>0.97657740138857096</v>
      </c>
      <c r="S12" s="17">
        <f t="shared" si="2"/>
        <v>0</v>
      </c>
      <c r="T12" s="13">
        <f t="shared" si="3"/>
        <v>0</v>
      </c>
      <c r="U12" s="1">
        <f t="shared" si="9"/>
        <v>0</v>
      </c>
      <c r="W12" s="7">
        <v>8</v>
      </c>
      <c r="X12" s="9">
        <f t="shared" si="10"/>
        <v>0.97657740138857096</v>
      </c>
      <c r="Y12" s="17">
        <f t="shared" si="4"/>
        <v>0.1953154802777142</v>
      </c>
      <c r="Z12" s="13">
        <f t="shared" si="5"/>
        <v>0.29297322041657131</v>
      </c>
      <c r="AA12" s="1">
        <f t="shared" si="11"/>
        <v>2</v>
      </c>
    </row>
    <row r="13" spans="1:27" x14ac:dyDescent="0.6">
      <c r="B13" s="7" t="s">
        <v>15</v>
      </c>
      <c r="C13" s="10">
        <v>12</v>
      </c>
      <c r="D13" s="10">
        <f>C13/$E$6*$F$6</f>
        <v>18</v>
      </c>
      <c r="E13" s="9">
        <f>C13/$D$6</f>
        <v>0.18461538461538463</v>
      </c>
      <c r="F13" s="1">
        <f>ROUND(E13/$H$9, 0)</f>
        <v>0</v>
      </c>
      <c r="K13" s="7">
        <v>9</v>
      </c>
      <c r="L13" s="9">
        <f t="shared" si="6"/>
        <v>1.0986495765621425</v>
      </c>
      <c r="M13" s="17">
        <f t="shared" si="0"/>
        <v>7.141222247653925E-2</v>
      </c>
      <c r="N13" s="13">
        <f t="shared" si="1"/>
        <v>0.10711833371480886</v>
      </c>
      <c r="O13" s="1">
        <f t="shared" si="7"/>
        <v>1</v>
      </c>
      <c r="P13" s="2"/>
      <c r="Q13" s="7">
        <v>9</v>
      </c>
      <c r="R13" s="9">
        <f t="shared" si="8"/>
        <v>1.0986495765621425</v>
      </c>
      <c r="S13" s="17">
        <f t="shared" si="2"/>
        <v>0</v>
      </c>
      <c r="T13" s="13">
        <f t="shared" si="3"/>
        <v>0</v>
      </c>
      <c r="U13" s="1">
        <f t="shared" si="9"/>
        <v>0</v>
      </c>
      <c r="W13" s="7">
        <v>9</v>
      </c>
      <c r="X13" s="9">
        <f t="shared" si="10"/>
        <v>1.0986495765621425</v>
      </c>
      <c r="Y13" s="17">
        <f t="shared" si="4"/>
        <v>0.2197299153124285</v>
      </c>
      <c r="Z13" s="13">
        <f t="shared" si="5"/>
        <v>0.32959487296864276</v>
      </c>
      <c r="AA13" s="1">
        <f t="shared" si="11"/>
        <v>2</v>
      </c>
    </row>
    <row r="14" spans="1:27" x14ac:dyDescent="0.6">
      <c r="B14" s="7" t="s">
        <v>16</v>
      </c>
      <c r="C14" s="10">
        <v>12</v>
      </c>
      <c r="D14" s="10">
        <f>C14/$E$6*$F$6</f>
        <v>18</v>
      </c>
      <c r="E14" s="9">
        <f>C14/$B$6</f>
        <v>0.06</v>
      </c>
      <c r="F14" s="1">
        <f>ROUND(E14/$H$10, 0)</f>
        <v>0</v>
      </c>
      <c r="K14" s="7">
        <v>10</v>
      </c>
      <c r="L14" s="9">
        <f t="shared" si="6"/>
        <v>1.2207217517357138</v>
      </c>
      <c r="M14" s="17">
        <f t="shared" si="0"/>
        <v>7.9346913862821389E-2</v>
      </c>
      <c r="N14" s="13">
        <f t="shared" si="1"/>
        <v>0.11902037079423208</v>
      </c>
      <c r="O14" s="1">
        <f t="shared" si="7"/>
        <v>1</v>
      </c>
      <c r="P14" s="2"/>
      <c r="Q14" s="7">
        <v>10</v>
      </c>
      <c r="R14" s="9">
        <f t="shared" si="8"/>
        <v>1.2207217517357138</v>
      </c>
      <c r="S14" s="17">
        <f t="shared" si="2"/>
        <v>0</v>
      </c>
      <c r="T14" s="13">
        <f t="shared" si="3"/>
        <v>0</v>
      </c>
      <c r="U14" s="1">
        <f t="shared" si="9"/>
        <v>0</v>
      </c>
      <c r="W14" s="7">
        <v>10</v>
      </c>
      <c r="X14" s="9">
        <f t="shared" si="10"/>
        <v>1.2207217517357138</v>
      </c>
      <c r="Y14" s="17">
        <f t="shared" si="4"/>
        <v>0.24414435034714277</v>
      </c>
      <c r="Z14" s="13">
        <f t="shared" si="5"/>
        <v>0.36621652552071415</v>
      </c>
      <c r="AA14" s="1">
        <f t="shared" si="11"/>
        <v>2</v>
      </c>
    </row>
    <row r="15" spans="1:27" x14ac:dyDescent="0.6">
      <c r="K15" s="7">
        <v>20</v>
      </c>
      <c r="L15" s="9">
        <f t="shared" si="6"/>
        <v>2.4414435034714277</v>
      </c>
      <c r="M15" s="17">
        <f t="shared" si="0"/>
        <v>0.15869382772564278</v>
      </c>
      <c r="N15" s="13">
        <f t="shared" si="1"/>
        <v>0.23804074158846417</v>
      </c>
      <c r="O15" s="1">
        <f t="shared" si="7"/>
        <v>2</v>
      </c>
      <c r="P15" s="2"/>
      <c r="Q15" s="7">
        <v>20</v>
      </c>
      <c r="R15" s="9">
        <f t="shared" si="8"/>
        <v>2.4414435034714277</v>
      </c>
      <c r="S15" s="17">
        <f t="shared" si="2"/>
        <v>0</v>
      </c>
      <c r="T15" s="13">
        <f t="shared" si="3"/>
        <v>0</v>
      </c>
      <c r="U15" s="1">
        <f t="shared" si="9"/>
        <v>0</v>
      </c>
      <c r="W15" s="7">
        <v>20</v>
      </c>
      <c r="X15" s="9">
        <f t="shared" si="10"/>
        <v>2.4414435034714277</v>
      </c>
      <c r="Y15" s="17">
        <f t="shared" si="4"/>
        <v>0.48828870069428554</v>
      </c>
      <c r="Z15" s="13">
        <f t="shared" si="5"/>
        <v>0.73243305104142831</v>
      </c>
      <c r="AA15" s="1">
        <f t="shared" si="11"/>
        <v>5</v>
      </c>
    </row>
    <row r="16" spans="1:27" x14ac:dyDescent="0.6">
      <c r="K16" s="7">
        <v>30</v>
      </c>
      <c r="L16" s="9">
        <f t="shared" si="6"/>
        <v>3.6621652552071411</v>
      </c>
      <c r="M16" s="17">
        <f t="shared" si="0"/>
        <v>0.23804074158846417</v>
      </c>
      <c r="N16" s="13">
        <f t="shared" si="1"/>
        <v>0.35706111238269628</v>
      </c>
      <c r="O16" s="1">
        <f t="shared" si="7"/>
        <v>2</v>
      </c>
      <c r="P16" s="2"/>
      <c r="Q16" s="7">
        <v>50</v>
      </c>
      <c r="R16" s="9">
        <f t="shared" si="8"/>
        <v>6.1036087586785683</v>
      </c>
      <c r="S16" s="17">
        <f t="shared" si="2"/>
        <v>0</v>
      </c>
      <c r="T16" s="13">
        <f t="shared" si="3"/>
        <v>0</v>
      </c>
      <c r="U16" s="1">
        <f t="shared" si="9"/>
        <v>0</v>
      </c>
      <c r="W16" s="7">
        <v>50</v>
      </c>
      <c r="X16" s="9">
        <f t="shared" si="10"/>
        <v>6.1036087586785683</v>
      </c>
      <c r="Y16" s="17">
        <f t="shared" si="4"/>
        <v>1.2207217517357136</v>
      </c>
      <c r="Z16" s="13">
        <f t="shared" si="5"/>
        <v>1.8310826276035705</v>
      </c>
      <c r="AA16" s="1">
        <f t="shared" si="11"/>
        <v>12</v>
      </c>
    </row>
    <row r="17" spans="2:27" x14ac:dyDescent="0.6">
      <c r="K17" s="7">
        <v>50</v>
      </c>
      <c r="L17" s="9">
        <f t="shared" si="6"/>
        <v>6.1036087586785683</v>
      </c>
      <c r="M17" s="17">
        <f t="shared" si="0"/>
        <v>0.39673456931410694</v>
      </c>
      <c r="N17" s="13">
        <f t="shared" si="1"/>
        <v>0.59510185397116033</v>
      </c>
      <c r="O17" s="1">
        <f t="shared" si="7"/>
        <v>4</v>
      </c>
      <c r="Q17" s="7">
        <v>100</v>
      </c>
      <c r="R17" s="9">
        <f t="shared" si="8"/>
        <v>12.207217517357137</v>
      </c>
      <c r="S17" s="17">
        <f t="shared" si="2"/>
        <v>0</v>
      </c>
      <c r="T17" s="13">
        <f t="shared" si="3"/>
        <v>0</v>
      </c>
      <c r="U17" s="1">
        <f t="shared" si="9"/>
        <v>0</v>
      </c>
      <c r="W17" s="7">
        <v>100</v>
      </c>
      <c r="X17" s="9">
        <f t="shared" si="10"/>
        <v>12.207217517357137</v>
      </c>
      <c r="Y17" s="17">
        <f t="shared" si="4"/>
        <v>2.4414435034714272</v>
      </c>
      <c r="Z17" s="13">
        <f t="shared" si="5"/>
        <v>3.6621652552071411</v>
      </c>
      <c r="AA17" s="1">
        <f t="shared" si="11"/>
        <v>24</v>
      </c>
    </row>
    <row r="18" spans="2:27" x14ac:dyDescent="0.6">
      <c r="K18" s="7">
        <v>100</v>
      </c>
      <c r="L18" s="9">
        <f t="shared" si="6"/>
        <v>12.207217517357137</v>
      </c>
      <c r="M18" s="17">
        <f t="shared" si="0"/>
        <v>0.79346913862821389</v>
      </c>
      <c r="N18" s="13">
        <f t="shared" si="1"/>
        <v>1.1902037079423207</v>
      </c>
      <c r="O18" s="1">
        <f t="shared" si="7"/>
        <v>8</v>
      </c>
      <c r="Q18" s="7">
        <v>150</v>
      </c>
      <c r="R18" s="9">
        <f t="shared" si="8"/>
        <v>18.310826276035705</v>
      </c>
      <c r="S18" s="17">
        <f t="shared" si="2"/>
        <v>0</v>
      </c>
      <c r="T18" s="13">
        <f t="shared" si="3"/>
        <v>0</v>
      </c>
      <c r="U18" s="1">
        <f t="shared" si="9"/>
        <v>0</v>
      </c>
      <c r="W18" s="7">
        <v>150</v>
      </c>
      <c r="X18" s="9">
        <f t="shared" si="10"/>
        <v>18.310826276035705</v>
      </c>
      <c r="Y18" s="17">
        <f t="shared" si="4"/>
        <v>3.6621652552071411</v>
      </c>
      <c r="Z18" s="13">
        <f t="shared" si="5"/>
        <v>5.493247882810711</v>
      </c>
      <c r="AA18" s="1">
        <f t="shared" si="11"/>
        <v>36</v>
      </c>
    </row>
    <row r="19" spans="2:27" x14ac:dyDescent="0.6">
      <c r="B19" s="18" t="s">
        <v>18</v>
      </c>
      <c r="C19" s="7" t="s">
        <v>31</v>
      </c>
      <c r="D19" s="7">
        <v>8000</v>
      </c>
      <c r="E19" s="7" t="s">
        <v>32</v>
      </c>
      <c r="F19" s="7">
        <v>127</v>
      </c>
      <c r="G19" s="7"/>
      <c r="K19" s="7">
        <v>200</v>
      </c>
      <c r="L19" s="9">
        <f t="shared" si="6"/>
        <v>24.414435034714273</v>
      </c>
      <c r="M19" s="17">
        <f t="shared" si="0"/>
        <v>1.5869382772564278</v>
      </c>
      <c r="N19" s="13">
        <f t="shared" si="1"/>
        <v>2.3804074158846413</v>
      </c>
      <c r="O19" s="1">
        <f t="shared" si="7"/>
        <v>16</v>
      </c>
      <c r="Q19" s="7">
        <v>200</v>
      </c>
      <c r="R19" s="9">
        <f t="shared" si="8"/>
        <v>24.414435034714273</v>
      </c>
      <c r="S19" s="17">
        <f t="shared" si="2"/>
        <v>0</v>
      </c>
      <c r="T19" s="13">
        <f t="shared" si="3"/>
        <v>0</v>
      </c>
      <c r="U19" s="1">
        <f t="shared" si="9"/>
        <v>0</v>
      </c>
      <c r="W19" s="7">
        <v>200</v>
      </c>
      <c r="X19" s="9">
        <f t="shared" si="10"/>
        <v>24.414435034714273</v>
      </c>
      <c r="Y19" s="17">
        <f t="shared" si="4"/>
        <v>4.8828870069428545</v>
      </c>
      <c r="Z19" s="13">
        <f t="shared" si="5"/>
        <v>7.3243305104142822</v>
      </c>
      <c r="AA19" s="1">
        <f t="shared" si="11"/>
        <v>48</v>
      </c>
    </row>
    <row r="20" spans="2:27" x14ac:dyDescent="0.6">
      <c r="B20" s="7" t="s">
        <v>11</v>
      </c>
      <c r="C20" s="7" t="s">
        <v>17</v>
      </c>
      <c r="D20" s="7" t="s">
        <v>1</v>
      </c>
      <c r="E20" s="7" t="s">
        <v>2</v>
      </c>
      <c r="F20" s="7" t="s">
        <v>6</v>
      </c>
      <c r="G20" s="7" t="s">
        <v>20</v>
      </c>
      <c r="K20" s="7">
        <v>300</v>
      </c>
      <c r="L20" s="9">
        <f t="shared" si="6"/>
        <v>36.62165255207141</v>
      </c>
      <c r="M20" s="17">
        <f t="shared" si="0"/>
        <v>2.3804074158846413</v>
      </c>
      <c r="N20" s="13">
        <f t="shared" si="1"/>
        <v>3.5706111238269616</v>
      </c>
      <c r="O20" s="1">
        <f t="shared" si="7"/>
        <v>23</v>
      </c>
      <c r="Q20" s="7">
        <v>300</v>
      </c>
      <c r="R20" s="9">
        <f t="shared" si="8"/>
        <v>36.62165255207141</v>
      </c>
      <c r="S20" s="17">
        <f t="shared" si="2"/>
        <v>0</v>
      </c>
      <c r="T20" s="13">
        <f t="shared" si="3"/>
        <v>0</v>
      </c>
      <c r="U20" s="1">
        <f t="shared" si="9"/>
        <v>0</v>
      </c>
      <c r="W20" s="7">
        <v>300</v>
      </c>
      <c r="X20" s="9">
        <f t="shared" si="10"/>
        <v>36.62165255207141</v>
      </c>
      <c r="Y20" s="17">
        <f t="shared" si="4"/>
        <v>7.3243305104142822</v>
      </c>
      <c r="Z20" s="13">
        <f t="shared" si="5"/>
        <v>10.986495765621422</v>
      </c>
      <c r="AA20" s="1">
        <f t="shared" si="11"/>
        <v>72</v>
      </c>
    </row>
    <row r="21" spans="2:27" x14ac:dyDescent="0.6">
      <c r="B21" s="7" t="s">
        <v>27</v>
      </c>
      <c r="C21" s="1">
        <v>2</v>
      </c>
      <c r="D21" s="9">
        <f>$D$19/$F$19*C21</f>
        <v>125.98425196850394</v>
      </c>
      <c r="E21" s="17">
        <f>D21*$B$6/1000</f>
        <v>25.196850393700789</v>
      </c>
      <c r="F21" s="17">
        <f>E21/$E$6*$F$6</f>
        <v>37.795275590551185</v>
      </c>
      <c r="G21" s="1">
        <f>ROUND(F21/1000/$E$3*$D$3, 0)</f>
        <v>248</v>
      </c>
      <c r="K21" s="7">
        <v>500</v>
      </c>
      <c r="L21" s="9">
        <f t="shared" si="6"/>
        <v>61.03608758678569</v>
      </c>
      <c r="M21" s="17">
        <f t="shared" si="0"/>
        <v>3.9673456931410698</v>
      </c>
      <c r="N21" s="13">
        <f t="shared" si="1"/>
        <v>5.9510185397116047</v>
      </c>
      <c r="O21" s="1">
        <f t="shared" si="7"/>
        <v>39</v>
      </c>
      <c r="Q21" s="7">
        <v>500</v>
      </c>
      <c r="R21" s="9">
        <f t="shared" si="8"/>
        <v>61.03608758678569</v>
      </c>
      <c r="S21" s="17">
        <f t="shared" si="2"/>
        <v>0</v>
      </c>
      <c r="T21" s="13">
        <f t="shared" si="3"/>
        <v>0</v>
      </c>
      <c r="U21" s="1">
        <f t="shared" si="9"/>
        <v>0</v>
      </c>
      <c r="W21" s="7">
        <v>500</v>
      </c>
      <c r="X21" s="9">
        <f t="shared" si="10"/>
        <v>61.03608758678569</v>
      </c>
      <c r="Y21" s="17">
        <f t="shared" si="4"/>
        <v>12.207217517357138</v>
      </c>
      <c r="Z21" s="13">
        <f t="shared" si="5"/>
        <v>18.310826276035709</v>
      </c>
      <c r="AA21" s="1">
        <f t="shared" si="11"/>
        <v>120</v>
      </c>
    </row>
    <row r="22" spans="2:27" x14ac:dyDescent="0.6">
      <c r="B22" s="7" t="s">
        <v>28</v>
      </c>
      <c r="C22" s="1">
        <v>4</v>
      </c>
      <c r="D22" s="9">
        <f t="shared" ref="D22:D24" si="12">$D$19/$F$19*C22</f>
        <v>251.96850393700788</v>
      </c>
      <c r="E22" s="17">
        <f>D22*$B$6/1000</f>
        <v>50.393700787401578</v>
      </c>
      <c r="F22" s="17">
        <f t="shared" ref="F22:F23" si="13">E22/$E$6*$F$6</f>
        <v>75.59055118110237</v>
      </c>
      <c r="G22" s="1">
        <f t="shared" ref="G22:G23" si="14">ROUND(F22/1000/$E$3*$D$3, 0)</f>
        <v>495</v>
      </c>
      <c r="K22" s="7">
        <v>1000</v>
      </c>
      <c r="L22" s="9">
        <f t="shared" si="6"/>
        <v>122.07217517357138</v>
      </c>
      <c r="M22" s="17">
        <f t="shared" si="0"/>
        <v>7.9346913862821395</v>
      </c>
      <c r="N22" s="13">
        <f t="shared" si="1"/>
        <v>11.902037079423209</v>
      </c>
      <c r="O22" s="1">
        <f t="shared" si="7"/>
        <v>78</v>
      </c>
      <c r="Q22" s="7">
        <v>1000</v>
      </c>
      <c r="R22" s="9">
        <f t="shared" si="8"/>
        <v>122.07217517357138</v>
      </c>
      <c r="S22" s="17">
        <f t="shared" si="2"/>
        <v>0</v>
      </c>
      <c r="T22" s="13">
        <f t="shared" si="3"/>
        <v>0</v>
      </c>
      <c r="U22" s="1">
        <f t="shared" si="9"/>
        <v>0</v>
      </c>
      <c r="W22" s="7">
        <v>1000</v>
      </c>
      <c r="X22" s="9">
        <f t="shared" si="10"/>
        <v>122.07217517357138</v>
      </c>
      <c r="Y22" s="17">
        <f t="shared" si="4"/>
        <v>24.414435034714277</v>
      </c>
      <c r="Z22" s="13">
        <f t="shared" si="5"/>
        <v>36.621652552071417</v>
      </c>
      <c r="AA22" s="1">
        <f t="shared" si="11"/>
        <v>240</v>
      </c>
    </row>
    <row r="23" spans="2:27" x14ac:dyDescent="0.6">
      <c r="B23" s="7" t="s">
        <v>30</v>
      </c>
      <c r="C23" s="1">
        <f>(C22+C21)/2</f>
        <v>3</v>
      </c>
      <c r="D23" s="9">
        <f t="shared" si="12"/>
        <v>188.97637795275591</v>
      </c>
      <c r="E23" s="17">
        <f>D23*$B$6/1000</f>
        <v>37.795275590551178</v>
      </c>
      <c r="F23" s="17">
        <f t="shared" si="13"/>
        <v>56.692913385826763</v>
      </c>
      <c r="G23" s="1">
        <f t="shared" si="14"/>
        <v>372</v>
      </c>
      <c r="K23" s="7">
        <v>2000</v>
      </c>
      <c r="L23" s="9">
        <f t="shared" si="6"/>
        <v>244.14435034714276</v>
      </c>
      <c r="M23" s="17">
        <f t="shared" si="0"/>
        <v>15.869382772564279</v>
      </c>
      <c r="N23" s="13">
        <f t="shared" si="1"/>
        <v>23.804074158846419</v>
      </c>
      <c r="O23" s="1">
        <f t="shared" si="7"/>
        <v>156</v>
      </c>
      <c r="Q23" s="7">
        <v>2000</v>
      </c>
      <c r="R23" s="9">
        <f t="shared" si="8"/>
        <v>244.14435034714276</v>
      </c>
      <c r="S23" s="17">
        <f t="shared" si="2"/>
        <v>0</v>
      </c>
      <c r="T23" s="13">
        <f t="shared" si="3"/>
        <v>0</v>
      </c>
      <c r="U23" s="1">
        <f t="shared" si="9"/>
        <v>0</v>
      </c>
      <c r="W23" s="7">
        <v>2000</v>
      </c>
      <c r="X23" s="9">
        <f t="shared" si="10"/>
        <v>244.14435034714276</v>
      </c>
      <c r="Y23" s="17">
        <f t="shared" si="4"/>
        <v>48.828870069428554</v>
      </c>
      <c r="Z23" s="13">
        <f t="shared" si="5"/>
        <v>73.243305104142834</v>
      </c>
      <c r="AA23" s="1">
        <f t="shared" si="11"/>
        <v>480</v>
      </c>
    </row>
    <row r="24" spans="2:27" x14ac:dyDescent="0.6">
      <c r="B24" s="7" t="s">
        <v>29</v>
      </c>
      <c r="C24" s="1">
        <v>30</v>
      </c>
      <c r="D24" s="9">
        <f t="shared" si="12"/>
        <v>1889.7637795275591</v>
      </c>
      <c r="E24" s="17">
        <f>D24*$C$6/1000</f>
        <v>0</v>
      </c>
      <c r="F24" s="17">
        <f>E24/$E$6*$F$6</f>
        <v>0</v>
      </c>
      <c r="G24" s="1">
        <f>ROUND(F24/1000/$E$3*$D$3, 0)</f>
        <v>0</v>
      </c>
      <c r="K24" s="7">
        <v>5000</v>
      </c>
      <c r="L24" s="9">
        <f t="shared" si="6"/>
        <v>610.36087586785686</v>
      </c>
      <c r="M24" s="17">
        <f t="shared" si="0"/>
        <v>39.673456931410698</v>
      </c>
      <c r="N24" s="13">
        <f t="shared" si="1"/>
        <v>59.510185397116047</v>
      </c>
      <c r="O24" s="1">
        <f t="shared" si="7"/>
        <v>390</v>
      </c>
      <c r="P24" s="16"/>
      <c r="Q24" s="7">
        <v>5000</v>
      </c>
      <c r="R24" s="9">
        <f t="shared" si="8"/>
        <v>610.36087586785686</v>
      </c>
      <c r="S24" s="17">
        <f t="shared" si="2"/>
        <v>0</v>
      </c>
      <c r="T24" s="13">
        <f t="shared" si="3"/>
        <v>0</v>
      </c>
      <c r="U24" s="1">
        <f t="shared" si="9"/>
        <v>0</v>
      </c>
      <c r="W24" s="7">
        <f>512*5</f>
        <v>2560</v>
      </c>
      <c r="X24" s="9">
        <f t="shared" si="10"/>
        <v>312.50476844434274</v>
      </c>
      <c r="Y24" s="17">
        <f t="shared" si="4"/>
        <v>62.500953688868549</v>
      </c>
      <c r="Z24" s="13">
        <f t="shared" si="5"/>
        <v>93.751430533302823</v>
      </c>
      <c r="AA24" s="1">
        <f t="shared" si="11"/>
        <v>614</v>
      </c>
    </row>
    <row r="25" spans="2:27" x14ac:dyDescent="0.6">
      <c r="K25" s="7">
        <v>10000</v>
      </c>
      <c r="L25" s="9">
        <f t="shared" si="6"/>
        <v>1220.7217517357137</v>
      </c>
      <c r="M25" s="17">
        <f t="shared" si="0"/>
        <v>79.346913862821395</v>
      </c>
      <c r="N25" s="13">
        <f t="shared" si="1"/>
        <v>119.02037079423209</v>
      </c>
      <c r="O25" s="1">
        <f t="shared" si="7"/>
        <v>780</v>
      </c>
      <c r="P25" s="16"/>
      <c r="Q25" s="7">
        <v>10000</v>
      </c>
      <c r="R25" s="9">
        <f t="shared" si="8"/>
        <v>1220.7217517357137</v>
      </c>
      <c r="S25" s="17">
        <f t="shared" si="2"/>
        <v>0</v>
      </c>
      <c r="T25" s="13">
        <f t="shared" si="3"/>
        <v>0</v>
      </c>
      <c r="U25" s="1">
        <f t="shared" si="9"/>
        <v>0</v>
      </c>
      <c r="W25" s="7">
        <v>4100</v>
      </c>
      <c r="X25" s="9">
        <f t="shared" si="10"/>
        <v>500.49591821164262</v>
      </c>
      <c r="Y25" s="17">
        <f t="shared" si="4"/>
        <v>100.09918364232853</v>
      </c>
      <c r="Z25" s="13">
        <f t="shared" si="5"/>
        <v>150.1487754634928</v>
      </c>
      <c r="AA25" s="1">
        <f t="shared" si="11"/>
        <v>984</v>
      </c>
    </row>
    <row r="26" spans="2:27" x14ac:dyDescent="0.6">
      <c r="K26" s="7">
        <v>30000</v>
      </c>
      <c r="L26" s="9">
        <f t="shared" si="6"/>
        <v>3662.1652552071414</v>
      </c>
      <c r="M26" s="17">
        <f t="shared" si="0"/>
        <v>238.04074158846419</v>
      </c>
      <c r="N26" s="13">
        <f t="shared" si="1"/>
        <v>357.06111238269625</v>
      </c>
      <c r="O26" s="1">
        <f t="shared" si="7"/>
        <v>2340</v>
      </c>
      <c r="Q26" s="7">
        <v>30000</v>
      </c>
      <c r="R26" s="9">
        <f t="shared" si="8"/>
        <v>3662.1652552071414</v>
      </c>
      <c r="S26" s="17">
        <f t="shared" si="2"/>
        <v>0</v>
      </c>
      <c r="T26" s="13">
        <f t="shared" si="3"/>
        <v>0</v>
      </c>
      <c r="U26" s="1">
        <f t="shared" si="9"/>
        <v>0</v>
      </c>
      <c r="W26" s="7">
        <v>30000</v>
      </c>
      <c r="X26" s="9">
        <f t="shared" si="10"/>
        <v>3662.1652552071414</v>
      </c>
      <c r="Y26" s="17">
        <f t="shared" si="4"/>
        <v>732.43305104142826</v>
      </c>
      <c r="Z26" s="13">
        <f t="shared" si="5"/>
        <v>1098.6495765621423</v>
      </c>
      <c r="AA26" s="1">
        <f t="shared" si="11"/>
        <v>7200</v>
      </c>
    </row>
    <row r="27" spans="2:27" x14ac:dyDescent="0.6">
      <c r="K27" s="7">
        <v>65535</v>
      </c>
      <c r="L27" s="9">
        <f t="shared" si="6"/>
        <v>8000</v>
      </c>
      <c r="M27" s="17">
        <f t="shared" si="0"/>
        <v>520</v>
      </c>
      <c r="N27" s="13">
        <f t="shared" si="1"/>
        <v>780</v>
      </c>
      <c r="O27" s="1">
        <f t="shared" si="7"/>
        <v>5112</v>
      </c>
      <c r="Q27" s="7">
        <v>65535</v>
      </c>
      <c r="R27" s="9">
        <f t="shared" si="8"/>
        <v>8000</v>
      </c>
      <c r="S27" s="17">
        <f t="shared" si="2"/>
        <v>0</v>
      </c>
      <c r="T27" s="13">
        <f t="shared" si="3"/>
        <v>0</v>
      </c>
      <c r="U27" s="1">
        <f t="shared" si="9"/>
        <v>0</v>
      </c>
      <c r="W27" s="7">
        <v>65535</v>
      </c>
      <c r="X27" s="9">
        <f t="shared" si="10"/>
        <v>8000</v>
      </c>
      <c r="Y27" s="17">
        <f t="shared" si="4"/>
        <v>1600</v>
      </c>
      <c r="Z27" s="13">
        <f t="shared" si="5"/>
        <v>2400</v>
      </c>
      <c r="AA27" s="1">
        <f t="shared" si="11"/>
        <v>15728</v>
      </c>
    </row>
    <row r="28" spans="2:27" x14ac:dyDescent="0.6">
      <c r="P28" s="16"/>
      <c r="Q28" s="16"/>
      <c r="R28" s="16"/>
      <c r="S28" s="16"/>
      <c r="T28" s="13"/>
    </row>
    <row r="29" spans="2:27" x14ac:dyDescent="0.6">
      <c r="R29" s="9"/>
      <c r="S29" s="16"/>
      <c r="T29" s="13"/>
    </row>
    <row r="30" spans="2:27" x14ac:dyDescent="0.6">
      <c r="R30" s="9"/>
      <c r="S30" s="20"/>
      <c r="T30" s="13"/>
    </row>
    <row r="31" spans="2:27" x14ac:dyDescent="0.6">
      <c r="R31" s="9"/>
      <c r="S31" s="16"/>
      <c r="T31" s="13"/>
    </row>
    <row r="32" spans="2:27" x14ac:dyDescent="0.6">
      <c r="R32" s="9"/>
      <c r="S32" s="16"/>
      <c r="T32" s="13"/>
    </row>
    <row r="33" spans="15:20" x14ac:dyDescent="0.6">
      <c r="R33" s="9"/>
      <c r="S33" s="16"/>
      <c r="T33" s="13"/>
    </row>
    <row r="34" spans="15:20" x14ac:dyDescent="0.6">
      <c r="R34" s="9"/>
      <c r="S34" s="16"/>
      <c r="T34" s="13"/>
    </row>
    <row r="35" spans="15:20" x14ac:dyDescent="0.6">
      <c r="O35" s="16"/>
      <c r="P35" s="16"/>
      <c r="Q35" s="16"/>
      <c r="R35" s="16"/>
    </row>
    <row r="36" spans="15:20" x14ac:dyDescent="0.6">
      <c r="O36" s="16"/>
      <c r="P36" s="16"/>
      <c r="Q36" s="16"/>
      <c r="R36" s="16"/>
    </row>
    <row r="37" spans="15:20" x14ac:dyDescent="0.6">
      <c r="O37" s="16"/>
      <c r="P37" s="16"/>
      <c r="Q37" s="16"/>
      <c r="R37" s="16"/>
    </row>
    <row r="38" spans="15:20" x14ac:dyDescent="0.6">
      <c r="O38" s="16"/>
      <c r="P38" s="16"/>
      <c r="Q38" s="16"/>
      <c r="R38" s="16"/>
      <c r="S38" s="16"/>
      <c r="T38" s="13"/>
    </row>
    <row r="39" spans="15:20" x14ac:dyDescent="0.6">
      <c r="O39" s="16"/>
      <c r="P39" s="16"/>
      <c r="Q39" s="16"/>
      <c r="R39" s="16"/>
    </row>
    <row r="40" spans="15:20" x14ac:dyDescent="0.6">
      <c r="O40" s="16"/>
      <c r="P40" s="16"/>
      <c r="Q40" s="16"/>
      <c r="R40" s="16"/>
    </row>
    <row r="41" spans="15:20" x14ac:dyDescent="0.6">
      <c r="O41" s="16"/>
      <c r="P41" s="16"/>
      <c r="Q41" s="16"/>
      <c r="R41" s="16"/>
    </row>
    <row r="42" spans="15:20" x14ac:dyDescent="0.6">
      <c r="O42" s="16"/>
      <c r="P42" s="16"/>
      <c r="Q42" s="16"/>
      <c r="R42" s="16"/>
    </row>
    <row r="43" spans="15:20" x14ac:dyDescent="0.6">
      <c r="O43" s="16"/>
      <c r="P43" s="16"/>
      <c r="Q43" s="16"/>
      <c r="R43" s="16"/>
    </row>
    <row r="44" spans="15:20" x14ac:dyDescent="0.6">
      <c r="O44" s="16"/>
      <c r="P44" s="16"/>
      <c r="Q44" s="16"/>
      <c r="R44" s="16"/>
    </row>
    <row r="45" spans="15:20" x14ac:dyDescent="0.6">
      <c r="O45" s="16"/>
      <c r="P45" s="16"/>
      <c r="Q45" s="16"/>
      <c r="R45" s="16"/>
    </row>
    <row r="46" spans="15:20" x14ac:dyDescent="0.6">
      <c r="O46" s="16"/>
      <c r="P46" s="16"/>
      <c r="Q46" s="16"/>
      <c r="R46" s="16"/>
    </row>
    <row r="47" spans="15:20" x14ac:dyDescent="0.6">
      <c r="O47" s="16"/>
      <c r="P47" s="16"/>
      <c r="Q47" s="16"/>
      <c r="R47" s="16"/>
    </row>
    <row r="48" spans="15:20" x14ac:dyDescent="0.6">
      <c r="O48" s="16"/>
      <c r="P48" s="16"/>
      <c r="Q48" s="16"/>
      <c r="R48" s="16"/>
    </row>
    <row r="49" spans="15:20" x14ac:dyDescent="0.6">
      <c r="O49" s="16"/>
      <c r="P49" s="16"/>
      <c r="Q49" s="16"/>
      <c r="R49" s="16"/>
    </row>
    <row r="50" spans="15:20" x14ac:dyDescent="0.6">
      <c r="O50" s="16"/>
      <c r="P50" s="16"/>
      <c r="Q50" s="16"/>
      <c r="R50" s="16"/>
    </row>
    <row r="51" spans="15:20" x14ac:dyDescent="0.6">
      <c r="O51" s="16"/>
      <c r="P51" s="16"/>
      <c r="Q51" s="16"/>
      <c r="R51" s="16"/>
      <c r="S51" s="16"/>
      <c r="T51" s="13"/>
    </row>
    <row r="52" spans="15:20" x14ac:dyDescent="0.6">
      <c r="O52" s="16"/>
      <c r="P52" s="16"/>
      <c r="Q52" s="16"/>
      <c r="R52" s="16"/>
      <c r="S52" s="16"/>
      <c r="T52" s="13"/>
    </row>
    <row r="53" spans="15:20" x14ac:dyDescent="0.6">
      <c r="O53" s="16"/>
      <c r="P53" s="16"/>
      <c r="Q53" s="16"/>
      <c r="R53" s="16"/>
      <c r="S53" s="16"/>
      <c r="T53" s="13"/>
    </row>
    <row r="54" spans="15:20" x14ac:dyDescent="0.6">
      <c r="O54" s="16"/>
      <c r="P54" s="16"/>
      <c r="Q54" s="16"/>
      <c r="R54" s="16"/>
      <c r="S54" s="16"/>
      <c r="T54" s="13"/>
    </row>
    <row r="55" spans="15:20" x14ac:dyDescent="0.6">
      <c r="O55" s="16"/>
      <c r="P55" s="16"/>
      <c r="Q55" s="16"/>
      <c r="R55" s="16"/>
      <c r="S55" s="16"/>
      <c r="T55" s="13"/>
    </row>
    <row r="56" spans="15:20" x14ac:dyDescent="0.6">
      <c r="O56" s="16"/>
      <c r="P56" s="16"/>
      <c r="Q56" s="16"/>
      <c r="R56" s="16"/>
      <c r="S56" s="16"/>
      <c r="T56" s="13"/>
    </row>
    <row r="57" spans="15:20" x14ac:dyDescent="0.6">
      <c r="O57" s="16"/>
      <c r="P57" s="16"/>
      <c r="Q57" s="16"/>
      <c r="R57" s="16"/>
      <c r="S57" s="16"/>
      <c r="T57" s="13"/>
    </row>
    <row r="58" spans="15:20" x14ac:dyDescent="0.6">
      <c r="O58" s="16"/>
      <c r="P58" s="16"/>
      <c r="Q58" s="16"/>
      <c r="R58" s="16"/>
      <c r="S58" s="16"/>
      <c r="T58" s="13"/>
    </row>
    <row r="59" spans="15:20" x14ac:dyDescent="0.6">
      <c r="O59" s="16"/>
      <c r="P59" s="16"/>
      <c r="Q59" s="16"/>
      <c r="R59" s="16"/>
      <c r="S59" s="16"/>
      <c r="T59" s="13"/>
    </row>
    <row r="60" spans="15:20" x14ac:dyDescent="0.6">
      <c r="O60" s="16"/>
      <c r="P60" s="16"/>
      <c r="Q60" s="16"/>
      <c r="R60" s="16"/>
      <c r="S60" s="16"/>
      <c r="T60" s="13"/>
    </row>
    <row r="61" spans="15:20" x14ac:dyDescent="0.6">
      <c r="O61" s="16"/>
      <c r="P61" s="16"/>
      <c r="Q61" s="16"/>
      <c r="R61" s="16"/>
      <c r="S61" s="16"/>
      <c r="T61" s="13"/>
    </row>
    <row r="62" spans="15:20" x14ac:dyDescent="0.6">
      <c r="O62" s="16"/>
      <c r="P62" s="16"/>
      <c r="Q62" s="16"/>
      <c r="R62" s="16"/>
      <c r="S62" s="16"/>
      <c r="T62" s="13"/>
    </row>
    <row r="63" spans="15:20" x14ac:dyDescent="0.6">
      <c r="O63" s="16"/>
      <c r="P63" s="16"/>
      <c r="Q63" s="16"/>
      <c r="R63" s="16"/>
      <c r="S63" s="16"/>
      <c r="T63" s="13"/>
    </row>
    <row r="64" spans="15:20" x14ac:dyDescent="0.6">
      <c r="O64" s="16"/>
      <c r="P64" s="16"/>
      <c r="Q64" s="16"/>
      <c r="R64" s="16"/>
      <c r="S64" s="16"/>
      <c r="T64" s="13"/>
    </row>
    <row r="65" spans="15:20" x14ac:dyDescent="0.6">
      <c r="O65" s="16"/>
      <c r="P65" s="16"/>
      <c r="Q65" s="16"/>
      <c r="R65" s="16"/>
      <c r="S65" s="16"/>
      <c r="T65" s="13"/>
    </row>
    <row r="66" spans="15:20" x14ac:dyDescent="0.6">
      <c r="O66" s="16"/>
      <c r="P66" s="16"/>
      <c r="Q66" s="16"/>
      <c r="R66" s="16"/>
      <c r="S66" s="16"/>
      <c r="T66" s="13"/>
    </row>
    <row r="67" spans="15:20" x14ac:dyDescent="0.6">
      <c r="O67" s="16"/>
      <c r="P67" s="16"/>
      <c r="Q67" s="16"/>
      <c r="R67" s="16"/>
      <c r="S67" s="16"/>
      <c r="T67" s="13"/>
    </row>
    <row r="68" spans="15:20" x14ac:dyDescent="0.6">
      <c r="O68" s="16"/>
      <c r="P68" s="16"/>
      <c r="Q68" s="16"/>
      <c r="R68" s="16"/>
      <c r="S68" s="16"/>
      <c r="T68" s="13"/>
    </row>
    <row r="69" spans="15:20" x14ac:dyDescent="0.6">
      <c r="O69" s="16"/>
      <c r="P69" s="16"/>
      <c r="Q69" s="16"/>
      <c r="R69" s="16"/>
    </row>
    <row r="70" spans="15:20" x14ac:dyDescent="0.6">
      <c r="O70" s="16"/>
      <c r="P70" s="16"/>
      <c r="Q70" s="16"/>
      <c r="R70" s="16"/>
    </row>
    <row r="71" spans="15:20" x14ac:dyDescent="0.6">
      <c r="O71" s="16"/>
      <c r="P71" s="16"/>
      <c r="Q71" s="16"/>
      <c r="R71" s="16"/>
    </row>
    <row r="72" spans="15:20" x14ac:dyDescent="0.6">
      <c r="O72" s="16"/>
      <c r="P72" s="16"/>
      <c r="Q72" s="16"/>
      <c r="R72" s="16"/>
    </row>
    <row r="73" spans="15:20" x14ac:dyDescent="0.6">
      <c r="O73" s="16"/>
      <c r="P73" s="16"/>
      <c r="Q73" s="16"/>
      <c r="R73" s="16"/>
    </row>
  </sheetData>
  <phoneticPr fontId="1" type="noConversion"/>
  <conditionalFormatting sqref="N4:N27 T4:T27 Z4:Z27">
    <cfRule type="cellIs" dxfId="0" priority="1" operator="greaterThan">
      <formula>3000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cp:lastPrinted>2024-03-05T01:12:53Z</cp:lastPrinted>
  <dcterms:created xsi:type="dcterms:W3CDTF">2024-01-29T02:23:28Z</dcterms:created>
  <dcterms:modified xsi:type="dcterms:W3CDTF">2025-03-12T06:22:25Z</dcterms:modified>
</cp:coreProperties>
</file>