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working\01_Project\Jig\SAL_JIG\SAL_JIG_CS1\Docs\"/>
    </mc:Choice>
  </mc:AlternateContent>
  <xr:revisionPtr revIDLastSave="0" documentId="13_ncr:1_{496DEE7E-5062-483F-8F8E-CD1DD23597A1}" xr6:coauthVersionLast="47" xr6:coauthVersionMax="47" xr10:uidLastSave="{00000000-0000-0000-0000-000000000000}"/>
  <bookViews>
    <workbookView xWindow="-98" yWindow="-98" windowWidth="21795" windowHeight="12975" firstSheet="1" activeTab="1"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3" l="1"/>
  <c r="J40" i="3"/>
  <c r="J39" i="3"/>
  <c r="G41" i="3"/>
  <c r="G40" i="3"/>
  <c r="G39" i="3"/>
  <c r="X5" i="5"/>
  <c r="K31" i="3" l="1"/>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28" i="3"/>
  <c r="K25" i="3"/>
  <c r="J8" i="3"/>
  <c r="L8" i="3" s="1"/>
  <c r="N8" i="3" s="1"/>
  <c r="J7" i="3"/>
  <c r="L7" i="3" s="1"/>
  <c r="N7" i="3" s="1"/>
  <c r="J32" i="3"/>
  <c r="J31" i="3"/>
  <c r="J29" i="3"/>
  <c r="J28" i="3"/>
  <c r="K13" i="3"/>
  <c r="X29" i="5"/>
  <c r="X28" i="5"/>
  <c r="X27" i="5"/>
  <c r="X26" i="5"/>
  <c r="X25" i="5"/>
  <c r="X24" i="5"/>
  <c r="X22" i="5"/>
  <c r="X21" i="5"/>
  <c r="X20" i="5"/>
  <c r="X19" i="5"/>
  <c r="X18" i="5"/>
  <c r="X17" i="5"/>
  <c r="X16" i="5"/>
  <c r="X15" i="5"/>
  <c r="X14" i="5"/>
  <c r="X13" i="5"/>
  <c r="X12" i="5"/>
  <c r="X11" i="5"/>
  <c r="X10" i="5"/>
  <c r="X8" i="5"/>
  <c r="X7" i="5"/>
  <c r="X6"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29" i="3" l="1"/>
  <c r="N29" i="3" s="1"/>
  <c r="L31" i="3"/>
  <c r="N31" i="3" s="1"/>
  <c r="L32" i="3"/>
  <c r="N32"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tc={45F72D26-02D8-43DF-82BC-576F727939E4}</author>
    <author>tc={EC864BB5-ECA8-4F16-A70E-37D3B25C9475}</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5" authorId="3"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 ref="R25" authorId="4" shapeId="0" xr:uid="{EC864BB5-ECA8-4F16-A70E-37D3B25C9475}">
      <text>
        <t>[스레드 댓글]
사용 중인 버전의 Excel에서 이 스레드 댓글을 읽을 수 있지만 파일을 이후 버전의 Excel에서 열면 편집 내용이 모두 제거됩니다. 자세한 정보: https://go.microsoft.com/fwlink/?linkid=870924.
댓글:
    130옴 병렬</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<sst xmlns="http://schemas.openxmlformats.org/spreadsheetml/2006/main" count="2887" uniqueCount="705">
  <si>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</si>
  <si>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</si>
  <si>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</si>
  <si>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</si>
  <si>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</si>
  <si>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</si>
  <si>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</si>
  <si>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</si>
  <si>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</si>
  <si>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</si>
  <si>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</si>
  <si>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</si>
  <si>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</si>
  <si>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</si>
  <si>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</si>
  <si>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</si>
  <si>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</si>
  <si>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</si>
  <si>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</si>
  <si>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</si>
  <si>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</si>
  <si>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</si>
  <si>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</si>
  <si>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</si>
  <si>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</si>
  <si>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</si>
  <si>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</si>
  <si>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</si>
  <si>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</si>
  <si>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</si>
  <si>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</si>
  <si>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</si>
  <si>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</si>
  <si>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</si>
  <si>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</si>
  <si>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</si>
  <si>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</si>
  <si>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</si>
  <si>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</si>
  <si>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</si>
  <si>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</si>
  <si>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</si>
  <si>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</si>
  <si>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</si>
  <si>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</si>
  <si>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</si>
  <si>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</si>
  <si>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</si>
  <si>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</si>
  <si>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</si>
  <si>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</si>
  <si>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</si>
  <si>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</si>
  <si>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</si>
  <si>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</si>
  <si>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</si>
  <si>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</si>
  <si>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</si>
  <si>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</si>
  <si>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</si>
  <si>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</si>
  <si>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</si>
  <si>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</si>
  <si>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</si>
  <si>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</si>
  <si>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</si>
  <si>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</si>
  <si>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</si>
  <si>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</si>
  <si>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</si>
  <si>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</si>
  <si>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</si>
  <si>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</si>
  <si>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</si>
  <si>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</si>
  <si>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</si>
  <si>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</si>
  <si>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</si>
  <si>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</si>
  <si>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</si>
  <si>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</si>
  <si>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</si>
  <si>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</si>
  <si>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</si>
  <si>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</si>
  <si>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</si>
  <si>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</si>
  <si>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</si>
  <si>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</si>
  <si>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</si>
  <si>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</si>
  <si>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</si>
  <si>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</si>
  <si>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</si>
  <si>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</si>
  <si>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</si>
  <si>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</si>
  <si>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</si>
  <si>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</si>
  <si>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</si>
  <si>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</si>
  <si>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</si>
  <si>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</si>
  <si>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</si>
  <si>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</si>
  <si>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</si>
  <si>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</si>
  <si>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</si>
  <si>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</si>
  <si>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</si>
  <si>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</si>
  <si>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</si>
  <si>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</si>
  <si>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</si>
  <si>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</si>
  <si>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</si>
  <si>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</si>
  <si>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</si>
  <si>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</si>
  <si>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</si>
  <si>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</si>
  <si>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</si>
  <si>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</si>
  <si>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</si>
  <si>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</si>
  <si>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</si>
  <si>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</si>
  <si>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</si>
  <si>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</si>
  <si>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</si>
  <si>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</si>
  <si>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</si>
  <si>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</si>
  <si>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</si>
  <si>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</si>
  <si>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</si>
  <si>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</si>
  <si>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</si>
  <si>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</si>
  <si>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</si>
  <si>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</si>
  <si>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</si>
  <si>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</si>
  <si>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</si>
  <si>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</si>
  <si>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</si>
  <si>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</si>
  <si>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</si>
  <si>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</si>
  <si>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</si>
  <si>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</si>
  <si>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</si>
  <si>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</si>
  <si>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</si>
  <si>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</si>
  <si>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</si>
  <si>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</si>
  <si>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</si>
  <si>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</si>
  <si>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</si>
  <si>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</si>
  <si>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</si>
  <si>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</si>
  <si>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</si>
  <si>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</si>
  <si>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</si>
  <si>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</si>
  <si>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</si>
  <si>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</si>
  <si>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</si>
  <si>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</si>
  <si>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</si>
  <si>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</si>
  <si>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</si>
  <si>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</si>
  <si>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</si>
  <si>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</si>
  <si>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</si>
  <si>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</si>
  <si>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</si>
  <si>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</si>
  <si>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</si>
  <si>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</si>
  <si>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</si>
  <si>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</si>
  <si>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</si>
  <si>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</si>
  <si>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</si>
  <si>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</si>
  <si>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</si>
  <si>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</si>
  <si>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</si>
  <si>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</si>
  <si>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</si>
  <si>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</si>
  <si>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</si>
  <si>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</si>
  <si>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</si>
  <si>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</si>
  <si>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</si>
  <si>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</si>
  <si>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</si>
  <si>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</si>
  <si>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</si>
  <si>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</si>
  <si>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</si>
  <si>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</si>
  <si>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</si>
  <si>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</si>
  <si>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</si>
  <si>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</si>
  <si>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</si>
  <si>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</si>
  <si>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</si>
  <si>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</si>
  <si>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</si>
  <si>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</si>
  <si>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</si>
  <si>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</si>
  <si>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</si>
  <si>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</si>
  <si>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</si>
  <si>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</si>
  <si>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</si>
  <si>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</si>
  <si>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</si>
  <si>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</si>
  <si>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</si>
  <si>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</si>
  <si>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</si>
  <si>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</si>
  <si>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</si>
  <si>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</si>
  <si>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</si>
  <si>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</si>
  <si>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</si>
  <si>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</si>
  <si>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</si>
  <si>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</si>
  <si>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</si>
  <si>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</si>
  <si>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</si>
  <si>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</si>
  <si>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</si>
  <si>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</si>
  <si>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</si>
  <si>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</si>
  <si>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</si>
  <si>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</si>
  <si>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</si>
  <si>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</si>
  <si>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</si>
  <si>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</si>
  <si>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</si>
  <si>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</si>
  <si>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</si>
  <si>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</si>
  <si>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</si>
  <si>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</si>
  <si>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</si>
  <si>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</si>
  <si>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</si>
  <si>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</si>
  <si>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</si>
  <si>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</si>
  <si>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</si>
  <si>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</si>
  <si>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</si>
  <si>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</si>
  <si>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</si>
  <si>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</si>
  <si>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</si>
  <si>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</si>
  <si>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</si>
  <si>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</si>
  <si>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</si>
  <si>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</si>
  <si>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</si>
  <si>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</si>
  <si>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</si>
  <si>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</si>
  <si>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</si>
  <si>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</si>
  <si>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</si>
  <si>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</si>
  <si>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</si>
  <si>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</si>
  <si>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</si>
  <si>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</si>
  <si>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</si>
  <si>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</si>
  <si>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</si>
  <si>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</si>
  <si>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</si>
  <si>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</si>
  <si>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</si>
  <si>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</si>
  <si>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</si>
  <si>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</si>
  <si>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</si>
  <si>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</si>
  <si>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</si>
  <si>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</si>
  <si>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</si>
  <si>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</si>
  <si>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</si>
  <si>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</si>
  <si>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</si>
  <si>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</si>
  <si>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</si>
  <si>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Rs</t>
    <phoneticPr fontId="4" type="noConversion"/>
  </si>
  <si>
    <t>Rin</t>
    <phoneticPr fontId="4" type="noConversion"/>
  </si>
  <si>
    <t>Rout</t>
    <phoneticPr fontId="4" type="noConversion"/>
  </si>
  <si>
    <t>mA-to-A</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</si>
  <si>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</si>
  <si>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</si>
  <si>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</si>
  <si>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</si>
  <si>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</si>
  <si>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</si>
  <si>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</si>
  <si>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</si>
  <si>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</si>
  <si>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</si>
  <si>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</si>
  <si>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</si>
  <si>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</si>
  <si>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</si>
  <si>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</si>
  <si>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</si>
  <si>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</si>
  <si>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</si>
  <si>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</si>
  <si>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</si>
  <si>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</si>
  <si>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</si>
  <si>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</si>
  <si>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</si>
  <si>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</si>
  <si>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</si>
  <si>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</si>
  <si>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</si>
  <si>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</si>
  <si>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</si>
  <si>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</si>
  <si>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</si>
  <si>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</si>
  <si>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</si>
  <si>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</si>
  <si>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</si>
  <si>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</si>
  <si>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</si>
  <si>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</si>
  <si>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</si>
  <si>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</si>
  <si>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</si>
  <si>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</si>
  <si>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</si>
  <si>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</si>
  <si>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</si>
  <si>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</si>
  <si>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</si>
  <si>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</si>
  <si>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</si>
  <si>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</si>
  <si>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</si>
  <si>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</si>
  <si>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</si>
  <si>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</si>
  <si>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</si>
  <si>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</si>
  <si>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</si>
  <si>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</si>
  <si>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</si>
  <si>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</si>
  <si>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</si>
  <si>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</si>
  <si>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</si>
  <si>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</si>
  <si>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</si>
  <si>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</si>
  <si>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</si>
  <si>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</si>
  <si>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</si>
  <si>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</si>
  <si>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</si>
  <si>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</si>
  <si>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</si>
  <si>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</si>
  <si>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</si>
  <si>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</si>
  <si>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</si>
  <si>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</si>
  <si>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</si>
  <si>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</si>
  <si>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</si>
  <si>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</si>
  <si>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</si>
  <si>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</si>
  <si>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</si>
  <si>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</si>
  <si>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</si>
  <si>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</si>
  <si>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</si>
  <si>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</si>
  <si>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</si>
  <si>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</si>
  <si>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</si>
  <si>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</si>
  <si>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</si>
  <si>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</si>
  <si>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</si>
  <si>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</si>
  <si>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</si>
  <si>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</si>
  <si>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</si>
  <si>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</si>
  <si>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</si>
  <si>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</si>
  <si>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</si>
  <si>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</si>
  <si>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</si>
  <si>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</si>
  <si>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</si>
  <si>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</si>
  <si>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</si>
  <si>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</si>
  <si>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</si>
  <si>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</si>
  <si>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</si>
  <si>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</si>
  <si>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</si>
  <si>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</si>
  <si>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</si>
  <si>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</si>
  <si>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</si>
  <si>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</si>
  <si>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</si>
  <si>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</si>
  <si>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</si>
  <si>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</si>
  <si>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</si>
  <si>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</si>
  <si>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</si>
  <si>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</si>
  <si>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</si>
  <si>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</si>
  <si>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</si>
  <si>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</si>
  <si>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</si>
  <si>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</si>
  <si>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</si>
  <si>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</si>
  <si>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</si>
  <si>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</si>
  <si>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</si>
  <si>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</si>
  <si>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</si>
  <si>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</si>
  <si>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</si>
  <si>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</si>
  <si>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</si>
  <si>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</si>
  <si>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</si>
  <si>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</si>
  <si>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</si>
  <si>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</si>
  <si>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</si>
  <si>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</si>
  <si>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</si>
  <si>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</si>
  <si>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</si>
  <si>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</si>
  <si>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</si>
  <si>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</si>
  <si>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</si>
  <si>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</si>
  <si>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</si>
  <si>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</si>
  <si>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</si>
  <si>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</si>
  <si>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</si>
  <si>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</si>
  <si>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</si>
  <si>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</si>
  <si>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</si>
  <si>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</si>
  <si>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</si>
  <si>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</si>
  <si>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</si>
  <si>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</si>
  <si>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</si>
  <si>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</si>
  <si>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</si>
  <si>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</si>
  <si>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</si>
  <si>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</si>
  <si>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</si>
  <si>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</si>
  <si>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</si>
  <si>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</si>
  <si>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</si>
  <si>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</si>
  <si>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</si>
  <si>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</si>
  <si>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</si>
  <si>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</si>
  <si>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</si>
  <si>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</si>
  <si>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</si>
  <si>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</si>
  <si>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</si>
  <si>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</si>
  <si>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</si>
  <si>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</si>
  <si>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</si>
  <si>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</si>
  <si>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</si>
  <si>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</si>
  <si>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</si>
  <si>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</si>
  <si>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</si>
  <si>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</si>
  <si>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</si>
  <si>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</si>
  <si>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</si>
  <si>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</si>
  <si>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</si>
  <si>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</si>
  <si>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</si>
  <si>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</si>
  <si>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</si>
  <si>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</si>
  <si>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</si>
  <si>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</si>
  <si>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</si>
  <si>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</si>
  <si>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</si>
  <si>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</si>
  <si>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</si>
  <si>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</si>
  <si>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</si>
  <si>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</si>
  <si>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</si>
  <si>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</si>
  <si>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</si>
  <si>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</si>
  <si>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</si>
  <si>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</si>
  <si>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</si>
  <si>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</si>
  <si>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</si>
  <si>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</si>
  <si>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</si>
  <si>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</si>
  <si>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</si>
  <si>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</si>
  <si>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</si>
  <si>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</si>
  <si>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</si>
  <si>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</si>
  <si>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</si>
  <si>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</si>
  <si>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</si>
  <si>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</si>
  <si>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</si>
  <si>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</si>
  <si>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</si>
  <si>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</si>
  <si>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</si>
  <si>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</si>
  <si>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</si>
  <si>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</si>
  <si>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</si>
  <si>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</si>
  <si>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</si>
  <si>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</si>
  <si>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</si>
  <si>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</si>
  <si>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</si>
  <si>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</si>
  <si>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</si>
  <si>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</si>
  <si>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</si>
  <si>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</si>
  <si>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</si>
  <si>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</si>
  <si>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</si>
  <si>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</si>
  <si>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</si>
  <si>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</si>
  <si>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</si>
  <si>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</si>
  <si>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</si>
  <si>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</si>
  <si>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</si>
  <si>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</si>
  <si>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</si>
  <si>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</si>
  <si>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</si>
  <si>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</si>
  <si>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</si>
  <si>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</si>
  <si>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</si>
  <si>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</si>
  <si>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</si>
  <si>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</si>
  <si>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</si>
  <si>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</si>
  <si>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</si>
  <si>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</si>
  <si>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</si>
  <si>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</si>
  <si>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</si>
  <si>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</si>
  <si>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</si>
  <si>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</si>
  <si>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</si>
  <si>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</si>
  <si>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</si>
  <si>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</si>
  <si>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</si>
  <si>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</si>
  <si>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</si>
  <si>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</si>
  <si>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</si>
  <si>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</si>
  <si>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</si>
  <si>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</si>
  <si>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</si>
  <si>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</si>
  <si>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</si>
  <si>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</si>
  <si>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</si>
  <si>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</si>
  <si>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</si>
  <si>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</si>
  <si>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</si>
  <si>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</si>
  <si>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</si>
  <si>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</si>
  <si>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</si>
  <si>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</si>
  <si>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</si>
  <si>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</si>
  <si>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</si>
  <si>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</si>
  <si>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</si>
  <si>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</si>
  <si>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</si>
  <si>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</si>
  <si>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</si>
  <si>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</si>
  <si>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</si>
  <si>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</si>
  <si>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</si>
  <si>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</si>
  <si>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</si>
  <si>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</si>
  <si>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</si>
  <si>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</si>
  <si>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</si>
  <si>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</si>
  <si>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</si>
  <si>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</si>
  <si>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</si>
  <si>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</si>
  <si>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</si>
  <si>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</si>
  <si>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</si>
  <si>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</si>
  <si>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</si>
  <si>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</si>
  <si>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</si>
  <si>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</si>
  <si>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</si>
  <si>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</si>
  <si>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</si>
  <si>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</si>
  <si>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</si>
  <si>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</si>
  <si>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</si>
  <si>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</si>
  <si>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</si>
  <si>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</si>
  <si>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</si>
  <si>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</si>
  <si>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</si>
  <si>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</si>
  <si>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</si>
  <si>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</si>
  <si>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</si>
  <si>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</si>
  <si>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</si>
  <si>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</si>
  <si>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</si>
  <si>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TEST_V set open</t>
    <phoneticPr fontId="4" type="noConversion"/>
  </si>
  <si>
    <t>b_curr_max_lvl (5.75mA, 3)</t>
    <phoneticPr fontId="4" type="noConversion"/>
  </si>
  <si>
    <t>TMUX_SEL [3:0]</t>
    <phoneticPr fontId="10" type="noConversion"/>
  </si>
  <si>
    <t>GODEEPSLEEP</t>
    <phoneticPr fontId="4" type="noConversion"/>
  </si>
  <si>
    <t>O</t>
    <phoneticPr fontId="4" type="noConversion"/>
  </si>
  <si>
    <t>X</t>
    <phoneticPr fontId="4" type="noConversion"/>
  </si>
  <si>
    <t>E</t>
    <phoneticPr fontId="4" type="noConversion"/>
  </si>
  <si>
    <t>r_curr_max_lvl (21.51mA, E)</t>
    <phoneticPr fontId="4" type="noConversion"/>
  </si>
  <si>
    <t>g_curr_max_lvl (14.35mA, 9)</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</si>
</sst>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
    <numFmt numFmtId="177" formatCode="0&quot;mA&quot;"/>
    <numFmt numFmtId="178" formatCode="0&quot;uA&quot;"/>
    <numFmt numFmtId="179" formatCode="0&quot;V&quot;"/>
    <numFmt numFmtId="180" formatCode="0.0000&quot;mV&quot;"/>
    <numFmt numFmtId="181" formatCode="0.000&quot;V&quot;"/>
    <numFmt numFmtId="182" formatCode="0.000&quot;uA&quot;"/>
    <numFmt numFmtId="183" formatCode="0.000&quot;mV&quot;"/>
    <numFmt numFmtId="184" formatCode="0.00&quot;mV&quot;"/>
    <numFmt numFmtId="185" formatCode="0&quot;Ω&quot;"/>
    <numFmt numFmtId="186" formatCode="0.0&quot;Ω&quot;"/>
    <numFmt numFmtId="187" formatCode="0.0000&quot;V&quot;"/>
    <numFmt numFmtId="188" formatCode="0.000&quot;mA&quot;"/>
    <numFmt numFmtId="189" formatCode="0.0000&quot;uA&quot;"/>
    <numFmt numFmtId="190" formatCode="0.0&quot;mA&quot;"/>
    <numFmt numFmtId="191" formatCode="0&quot;uV&quot;"/>
    <numFmt numFmtId="192" formatCode="0.000&quot;uV&quot;"/>
    <numFmt numFmtId="193" formatCode="0.0%"/>
  </numFmts>
  <fonts count="2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29">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left" vertical="center"/>
    </xf>
    <xf numFmtId="0" fontId="0" fillId="0" borderId="6" xfId="0" applyBorder="1" applyAlignment="1">
      <alignment horizontal="center" vertical="center"/>
    </xf>
    <xf numFmtId="0" fontId="11" fillId="0" borderId="8" xfId="0" applyFont="1" applyBorder="1" applyAlignment="1">
      <alignment horizontal="left" vertical="center"/>
    </xf>
    <xf numFmtId="0" fontId="12" fillId="0" borderId="7" xfId="0" applyFont="1" applyBorder="1" applyAlignment="1">
      <alignment horizontal="center" vertical="center"/>
    </xf>
    <xf numFmtId="0" fontId="11" fillId="0" borderId="20" xfId="0" applyFont="1" applyBorder="1" applyAlignment="1">
      <alignment horizontal="left" vertical="center"/>
    </xf>
    <xf numFmtId="0" fontId="12" fillId="0" borderId="6" xfId="0" applyFont="1" applyBorder="1" applyAlignment="1">
      <alignment horizontal="center" vertical="center"/>
    </xf>
    <xf numFmtId="0" fontId="11" fillId="0" borderId="13" xfId="0" applyFont="1" applyBorder="1" applyAlignment="1">
      <alignment horizontal="lef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1"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12" fillId="0" borderId="16" xfId="0" applyFont="1" applyBorder="1" applyAlignment="1">
      <alignment horizontal="left"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7" fontId="1" fillId="2" borderId="0" xfId="5" applyNumberFormat="1" applyFill="1" applyAlignment="1">
      <alignment horizontal="center" vertical="center"/>
    </xf>
    <xf numFmtId="0" fontId="1" fillId="2" borderId="0" xfId="5" applyFill="1" applyAlignment="1">
      <alignment horizontal="centerContinuous" vertical="center"/>
    </xf>
    <xf numFmtId="178" fontId="1" fillId="0" borderId="0" xfId="5" applyNumberFormat="1" applyAlignment="1">
      <alignment horizontal="center" vertical="center"/>
    </xf>
    <xf numFmtId="179" fontId="1" fillId="0" borderId="0" xfId="5" applyNumberFormat="1" applyAlignment="1">
      <alignment horizontal="center"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7" borderId="0" xfId="5" applyNumberFormat="1" applyFill="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77" fontId="1" fillId="0" borderId="0" xfId="5" applyNumberFormat="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89" fontId="1" fillId="0" borderId="0" xfId="5" applyNumberFormat="1" applyAlignment="1">
      <alignment horizontal="center" vertical="center"/>
    </xf>
    <xf numFmtId="1"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0" fontId="1" fillId="2" borderId="0" xfId="5" applyFill="1" applyAlignment="1">
      <alignment horizontal="left" vertical="center"/>
    </xf>
    <xf numFmtId="192" fontId="1" fillId="0" borderId="0" xfId="5" applyNumberFormat="1" applyAlignment="1">
      <alignment horizontal="center" vertical="center"/>
    </xf>
    <xf numFmtId="10" fontId="0" fillId="0" borderId="0" xfId="6" applyNumberFormat="1" applyFont="1" applyAlignment="1">
      <alignment horizontal="center" vertical="center"/>
    </xf>
    <xf numFmtId="0" fontId="24" fillId="2" borderId="12" xfId="0" applyFont="1" applyFill="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6" xfId="0" applyFont="1" applyBorder="1" applyAlignment="1">
      <alignment horizontal="left"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11" fillId="0" borderId="37" xfId="0" applyFont="1" applyBorder="1" applyAlignment="1">
      <alignment horizontal="left" vertical="center"/>
    </xf>
    <xf numFmtId="0" fontId="12" fillId="0" borderId="38" xfId="0" applyFont="1" applyBorder="1" applyAlignment="1">
      <alignment horizontal="left" vertical="center"/>
    </xf>
    <xf numFmtId="0" fontId="8" fillId="7" borderId="1" xfId="2" applyFont="1" applyFill="1" applyBorder="1" applyAlignment="1">
      <alignment horizontal="center" vertical="center" wrapText="1"/>
    </xf>
    <xf numFmtId="193" fontId="0" fillId="7" borderId="1" xfId="1" applyNumberFormat="1" applyFont="1" applyFill="1" applyBorder="1" applyAlignment="1">
      <alignment horizontal="center" vertical="center"/>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4" fillId="0" borderId="2" xfId="3" applyFont="1" applyBorder="1" applyAlignment="1">
      <alignment horizontal="center" vertical="center" wrapText="1"/>
    </xf>
    <xf numFmtId="0" fontId="4" fillId="0" borderId="1" xfId="3" applyFont="1" applyBorder="1" applyAlignment="1">
      <alignment horizontal="center"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4" fillId="0" borderId="1" xfId="3" applyFont="1" applyBorder="1" applyAlignment="1">
      <alignment horizontal="left" vertical="top" wrapText="1"/>
    </xf>
    <xf numFmtId="0" fontId="4" fillId="0" borderId="2" xfId="3" applyFont="1" applyBorder="1" applyAlignment="1">
      <alignment horizontal="left" vertical="top" wrapText="1"/>
    </xf>
    <xf numFmtId="0" fontId="4" fillId="0" borderId="4" xfId="3" applyFont="1" applyBorder="1" applyAlignment="1">
      <alignment horizontal="center" vertical="center" wrapText="1"/>
    </xf>
    <xf numFmtId="0" fontId="4" fillId="0" borderId="2"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center" wrapText="1"/>
    </xf>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7" borderId="1" xfId="2" applyFont="1" applyFill="1" applyBorder="1" applyAlignment="1">
      <alignment horizontal="center"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 xfId="3" applyFont="1" applyBorder="1" applyAlignment="1">
      <alignment horizontal="left" vertical="center" wrapText="1"/>
    </xf>
    <xf numFmtId="0" fontId="21" fillId="0" borderId="30"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left" vertical="center" wrapText="1"/>
    </xf>
    <xf numFmtId="0" fontId="21" fillId="0" borderId="4" xfId="3" applyFont="1" applyBorder="1" applyAlignment="1">
      <alignment horizontal="left" vertical="center" wrapText="1"/>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8" fillId="6" borderId="1" xfId="4"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21" fillId="0" borderId="1" xfId="3" applyFont="1" applyBorder="1" applyAlignment="1">
      <alignment horizontal="left" vertical="center" wrapText="1"/>
    </xf>
    <xf numFmtId="1" fontId="0" fillId="0" borderId="1" xfId="0" applyNumberFormat="1" applyBorder="1" applyAlignment="1">
      <alignment horizontal="center" vertical="center"/>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twoCellAnchor editAs="oneCell">
    <xdr:from>
      <xdr:col>16</xdr:col>
      <xdr:colOff>0</xdr:colOff>
      <xdr:row>13</xdr:row>
      <xdr:rowOff>0</xdr:rowOff>
    </xdr:from>
    <xdr:to>
      <xdr:col>21</xdr:col>
      <xdr:colOff>188816</xdr:colOff>
      <xdr:row>24</xdr:row>
      <xdr:rowOff>106605</xdr:rowOff>
    </xdr:to>
    <xdr:pic>
      <xdr:nvPicPr>
        <xdr:cNvPr id="3" name="그림 2">
          <a:extLst>
            <a:ext uri="{FF2B5EF4-FFF2-40B4-BE49-F238E27FC236}">
              <a16:creationId xmlns:a16="http://schemas.microsoft.com/office/drawing/2014/main" id="{50E01206-F3F0-0282-EF38-5B1FBD829396}"/>
            </a:ext>
          </a:extLst>
        </xdr:cNvPr>
        <xdr:cNvPicPr>
          <a:picLocks noChangeAspect="1"/>
        </xdr:cNvPicPr>
      </xdr:nvPicPr>
      <xdr:blipFill>
        <a:blip xmlns:r="http://schemas.openxmlformats.org/officeDocument/2006/relationships" r:embed="rId2"/>
        <a:stretch>
          <a:fillRect/>
        </a:stretch>
      </xdr:blipFill>
      <xdr:spPr>
        <a:xfrm>
          <a:off x="12983882" y="2868706"/>
          <a:ext cx="3971643" cy="25345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5" dT="2024-12-05T06:45:12.86" personId="{F098088A-357D-4DB7-81F9-CA03321FB8AE}" id="{45F72D26-02D8-43DF-82BC-576F727939E4}">
    <text>13.3mA * 1.4 (40% 상승)</text>
  </threadedComment>
  <threadedComment ref="R25" dT="2024-09-06T02:44:17.89" personId="{F098088A-357D-4DB7-81F9-CA03321FB8AE}" id="{EC864BB5-ECA8-4F16-A70E-37D3B25C9475}">
    <text>130옴 병렬</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70" zoomScaleNormal="70" workbookViewId="0">
      <selection activeCell="B10" sqref="B10:I10"/>
    </sheetView>
  </sheetViews>
  <sheetFormatPr defaultColWidth="8.6875" defaultRowHeight="15" customHeight="1"/>
  <cols>
    <col min="1" max="1" width="2.5625" style="67" customWidth="1"/>
    <col min="2" max="2" width="20.75" style="67" bestFit="1" customWidth="1"/>
    <col min="3" max="3" width="8" style="74" bestFit="1" customWidth="1"/>
    <col min="4" max="4" width="8.5" style="74" bestFit="1" customWidth="1"/>
    <col min="5" max="5" width="7.5" style="74" bestFit="1" customWidth="1"/>
    <col min="6" max="6" width="10.5625" style="75" bestFit="1" customWidth="1"/>
    <col min="7" max="7" width="8.5" style="75" bestFit="1" customWidth="1"/>
    <col min="8" max="8" width="7.5" style="75" bestFit="1" customWidth="1"/>
    <col min="9" max="9" width="7.5625" style="75" bestFit="1" customWidth="1"/>
    <col min="10" max="10" width="8.6875" style="67" customWidth="1"/>
    <col min="11" max="11" width="8.6875" style="67" hidden="1" customWidth="1"/>
    <col min="12" max="12" width="11.8125" style="67" hidden="1" customWidth="1"/>
    <col min="13" max="13" width="7.8125" style="67" hidden="1" customWidth="1"/>
    <col min="14" max="14" width="13" style="67" hidden="1" customWidth="1"/>
    <col min="15" max="22" width="3.8125" style="67" hidden="1" customWidth="1"/>
    <col min="23" max="23" width="11.3125" style="67" hidden="1" customWidth="1"/>
    <col min="24" max="31" width="3.8125" style="67" hidden="1" customWidth="1"/>
    <col min="32" max="32" width="9" style="67" hidden="1" customWidth="1"/>
    <col min="33" max="34" width="8.6875" style="67" hidden="1" customWidth="1"/>
    <col min="35" max="16384" width="8.6875" style="67"/>
  </cols>
  <sheetData>
    <row r="2" spans="2:35" ht="15" customHeight="1">
      <c r="B2" s="157" t="s">
        <v>314</v>
      </c>
      <c r="C2" s="158" t="s">
        <v>315</v>
      </c>
      <c r="D2" s="158"/>
      <c r="E2" s="158"/>
      <c r="F2" s="157" t="s">
        <v>316</v>
      </c>
      <c r="G2" s="157"/>
      <c r="H2" s="157"/>
      <c r="I2" s="157" t="s">
        <v>317</v>
      </c>
      <c r="O2" s="67">
        <v>7</v>
      </c>
      <c r="P2" s="67">
        <v>6</v>
      </c>
      <c r="Q2" s="67">
        <v>5</v>
      </c>
      <c r="R2" s="67">
        <v>4</v>
      </c>
      <c r="S2" s="67">
        <v>3</v>
      </c>
      <c r="T2" s="67">
        <v>2</v>
      </c>
      <c r="U2" s="67">
        <v>1</v>
      </c>
      <c r="V2" s="67">
        <v>0</v>
      </c>
      <c r="X2" s="67">
        <v>7</v>
      </c>
      <c r="Y2" s="67">
        <v>6</v>
      </c>
      <c r="Z2" s="67">
        <v>5</v>
      </c>
      <c r="AA2" s="67">
        <v>4</v>
      </c>
      <c r="AB2" s="67">
        <v>3</v>
      </c>
      <c r="AC2" s="67">
        <v>2</v>
      </c>
      <c r="AD2" s="67">
        <v>1</v>
      </c>
      <c r="AE2" s="67">
        <v>0</v>
      </c>
    </row>
    <row r="3" spans="2:35" ht="23.25">
      <c r="B3" s="157"/>
      <c r="C3" s="66" t="s">
        <v>318</v>
      </c>
      <c r="D3" s="66" t="s">
        <v>319</v>
      </c>
      <c r="E3" s="66" t="s">
        <v>320</v>
      </c>
      <c r="F3" s="66" t="s">
        <v>321</v>
      </c>
      <c r="G3" s="66" t="s">
        <v>322</v>
      </c>
      <c r="H3" s="66" t="s">
        <v>320</v>
      </c>
      <c r="I3" s="157"/>
      <c r="L3" s="68" t="s">
        <v>323</v>
      </c>
      <c r="M3" s="68"/>
      <c r="N3" s="68"/>
    </row>
    <row r="4" spans="2:35" ht="15" customHeight="1">
      <c r="B4" s="69" t="s">
        <v>324</v>
      </c>
      <c r="C4" s="70" t="str">
        <f>_xlfn.CONCAT("0x",BIN2HEX(_xlfn.CONCAT(O4,P4,Q4,R4,S4,T4,U4,V4,),2))</f>
        <v>0xB1</v>
      </c>
      <c r="D4" s="70" t="s">
        <v>325</v>
      </c>
      <c r="E4" s="70" t="s">
        <v>325</v>
      </c>
      <c r="F4" s="71"/>
      <c r="G4" s="72" t="s">
        <v>326</v>
      </c>
      <c r="H4" s="72" t="s">
        <v>326</v>
      </c>
      <c r="I4" s="73">
        <v>0</v>
      </c>
      <c r="L4" s="68" t="s">
        <v>327</v>
      </c>
      <c r="M4" s="68" t="s">
        <v>328</v>
      </c>
      <c r="N4" s="68" t="s">
        <v>329</v>
      </c>
      <c r="O4" s="67">
        <v>1</v>
      </c>
      <c r="P4" s="67">
        <v>0</v>
      </c>
      <c r="Q4" s="67">
        <v>1</v>
      </c>
      <c r="R4" s="67">
        <v>1</v>
      </c>
      <c r="S4" s="67">
        <v>0</v>
      </c>
      <c r="T4" s="67">
        <v>0</v>
      </c>
      <c r="U4" s="67">
        <v>0</v>
      </c>
      <c r="V4" s="67">
        <v>1</v>
      </c>
      <c r="W4" s="67" t="str">
        <f t="shared" ref="W4:W9" si="0">BIN2HEX(_xlfn.CONCAT(Q4,R4,S4,T4,U4,V4),2)</f>
        <v>31</v>
      </c>
    </row>
    <row r="5" spans="2:35" ht="15" customHeight="1">
      <c r="B5" s="70" t="s">
        <v>330</v>
      </c>
      <c r="C5" s="70" t="str">
        <f t="shared" ref="C5:C53" si="1">_xlfn.CONCAT("0x",BIN2HEX(_xlfn.CONCAT(O5,P5,Q5,R5,S5,T5,U5,V5,),2))</f>
        <v>0xB2</v>
      </c>
      <c r="D5" s="70" t="s">
        <v>331</v>
      </c>
      <c r="E5" s="70" t="s">
        <v>331</v>
      </c>
      <c r="F5" s="71"/>
      <c r="G5" s="72" t="s">
        <v>326</v>
      </c>
      <c r="H5" s="72" t="s">
        <v>326</v>
      </c>
      <c r="I5" s="73">
        <v>0</v>
      </c>
      <c r="L5" s="68"/>
      <c r="M5" s="68" t="s">
        <v>332</v>
      </c>
      <c r="N5" s="68" t="s">
        <v>333</v>
      </c>
      <c r="O5" s="67">
        <v>1</v>
      </c>
      <c r="P5" s="67">
        <v>0</v>
      </c>
      <c r="Q5" s="67">
        <v>1</v>
      </c>
      <c r="R5" s="67">
        <v>1</v>
      </c>
      <c r="S5" s="67">
        <v>0</v>
      </c>
      <c r="T5" s="67">
        <v>0</v>
      </c>
      <c r="U5" s="67">
        <v>1</v>
      </c>
      <c r="V5" s="67">
        <v>0</v>
      </c>
      <c r="W5" s="67" t="str">
        <f t="shared" si="0"/>
        <v>32</v>
      </c>
    </row>
    <row r="6" spans="2:35" ht="15" customHeight="1">
      <c r="B6" s="70" t="s">
        <v>334</v>
      </c>
      <c r="C6" s="70" t="str">
        <f t="shared" si="1"/>
        <v>0xB3</v>
      </c>
      <c r="D6" s="70" t="s">
        <v>325</v>
      </c>
      <c r="E6" s="70" t="s">
        <v>325</v>
      </c>
      <c r="F6" s="70" t="str">
        <f>_xlfn.CONCAT("0x",BIN2HEX(_xlfn.CONCAT(X6,Y6,Z6,AA6,AB6,AC6,AD6,AE6),2))</f>
        <v>0xF3</v>
      </c>
      <c r="G6" s="70" t="s">
        <v>325</v>
      </c>
      <c r="H6" s="70" t="s">
        <v>331</v>
      </c>
      <c r="I6" s="73">
        <v>0</v>
      </c>
      <c r="J6" s="67" t="s">
        <v>700</v>
      </c>
      <c r="L6" s="68"/>
      <c r="M6" s="68" t="s">
        <v>335</v>
      </c>
      <c r="N6" s="68" t="s">
        <v>336</v>
      </c>
      <c r="O6" s="67">
        <v>1</v>
      </c>
      <c r="P6" s="67">
        <v>0</v>
      </c>
      <c r="Q6" s="67">
        <v>1</v>
      </c>
      <c r="R6" s="67">
        <v>1</v>
      </c>
      <c r="S6" s="67">
        <v>0</v>
      </c>
      <c r="T6" s="67">
        <v>0</v>
      </c>
      <c r="U6" s="67">
        <v>1</v>
      </c>
      <c r="V6" s="67">
        <v>1</v>
      </c>
      <c r="W6" s="67" t="str">
        <f t="shared" si="0"/>
        <v>33</v>
      </c>
      <c r="X6" s="67">
        <v>1</v>
      </c>
      <c r="Y6" s="67">
        <v>1</v>
      </c>
      <c r="Z6" s="67">
        <v>1</v>
      </c>
      <c r="AA6" s="67">
        <v>1</v>
      </c>
      <c r="AB6" s="67">
        <v>0</v>
      </c>
      <c r="AC6" s="67">
        <v>0</v>
      </c>
      <c r="AD6" s="67">
        <v>1</v>
      </c>
      <c r="AE6" s="67">
        <v>1</v>
      </c>
      <c r="AF6" s="67" t="str">
        <f>BIN2HEX(_xlfn.CONCAT(Z6,AA6,AB6,AC6,AD6,AE6),2)</f>
        <v>33</v>
      </c>
    </row>
    <row r="7" spans="2:35" ht="15" customHeight="1">
      <c r="B7" s="70" t="s">
        <v>337</v>
      </c>
      <c r="C7" s="70" t="str">
        <f t="shared" si="1"/>
        <v>0xB4</v>
      </c>
      <c r="D7" s="70" t="s">
        <v>325</v>
      </c>
      <c r="E7" s="70" t="s">
        <v>325</v>
      </c>
      <c r="F7" s="70" t="str">
        <f t="shared" ref="F7:F26" si="2">_xlfn.CONCAT("0x",BIN2HEX(_xlfn.CONCAT(X7,Y7,Z7,AA7,AB7,AC7,AD7,AE7),2))</f>
        <v>0xF4</v>
      </c>
      <c r="G7" s="70" t="s">
        <v>325</v>
      </c>
      <c r="H7" s="70" t="s">
        <v>331</v>
      </c>
      <c r="I7" s="73">
        <v>0</v>
      </c>
      <c r="J7" s="67" t="s">
        <v>700</v>
      </c>
      <c r="L7" s="68" t="s">
        <v>338</v>
      </c>
      <c r="M7" s="159" t="s">
        <v>339</v>
      </c>
      <c r="N7" s="159"/>
      <c r="O7" s="67">
        <v>1</v>
      </c>
      <c r="P7" s="67">
        <v>0</v>
      </c>
      <c r="Q7" s="67">
        <v>1</v>
      </c>
      <c r="R7" s="67">
        <v>1</v>
      </c>
      <c r="S7" s="67">
        <v>0</v>
      </c>
      <c r="T7" s="67">
        <v>1</v>
      </c>
      <c r="U7" s="67">
        <v>0</v>
      </c>
      <c r="V7" s="67">
        <v>0</v>
      </c>
      <c r="W7" s="67" t="str">
        <f t="shared" si="0"/>
        <v>34</v>
      </c>
      <c r="X7" s="67">
        <v>1</v>
      </c>
      <c r="Y7" s="67">
        <v>1</v>
      </c>
      <c r="Z7" s="67">
        <v>1</v>
      </c>
      <c r="AA7" s="67">
        <v>1</v>
      </c>
      <c r="AB7" s="67">
        <v>0</v>
      </c>
      <c r="AC7" s="67">
        <v>1</v>
      </c>
      <c r="AD7" s="67">
        <v>0</v>
      </c>
      <c r="AE7" s="67">
        <v>0</v>
      </c>
      <c r="AF7" s="67" t="str">
        <f>BIN2HEX(_xlfn.CONCAT(Z7,AA7,AB7,AC7,AD7,AE7),2)</f>
        <v>34</v>
      </c>
    </row>
    <row r="8" spans="2:35" ht="15" customHeight="1">
      <c r="B8" s="70" t="s">
        <v>340</v>
      </c>
      <c r="C8" s="70" t="str">
        <f t="shared" si="1"/>
        <v>0xB8</v>
      </c>
      <c r="D8" s="70" t="s">
        <v>325</v>
      </c>
      <c r="E8" s="70" t="s">
        <v>325</v>
      </c>
      <c r="F8" s="70" t="str">
        <f t="shared" si="2"/>
        <v>0xF8</v>
      </c>
      <c r="G8" s="70" t="s">
        <v>325</v>
      </c>
      <c r="H8" s="70" t="s">
        <v>331</v>
      </c>
      <c r="I8" s="73">
        <v>0</v>
      </c>
      <c r="J8" s="67" t="s">
        <v>700</v>
      </c>
      <c r="O8" s="67">
        <v>1</v>
      </c>
      <c r="P8" s="67">
        <v>0</v>
      </c>
      <c r="Q8" s="67">
        <v>1</v>
      </c>
      <c r="R8" s="67">
        <v>1</v>
      </c>
      <c r="S8" s="67">
        <v>1</v>
      </c>
      <c r="T8" s="67">
        <v>0</v>
      </c>
      <c r="U8" s="67">
        <v>0</v>
      </c>
      <c r="V8" s="67">
        <v>0</v>
      </c>
      <c r="W8" s="67" t="str">
        <f t="shared" si="0"/>
        <v>38</v>
      </c>
      <c r="X8" s="67">
        <v>1</v>
      </c>
      <c r="Y8" s="67">
        <v>1</v>
      </c>
      <c r="Z8" s="67">
        <v>1</v>
      </c>
      <c r="AA8" s="67">
        <v>1</v>
      </c>
      <c r="AB8" s="67">
        <v>1</v>
      </c>
      <c r="AC8" s="67">
        <v>0</v>
      </c>
      <c r="AD8" s="67">
        <v>0</v>
      </c>
      <c r="AE8" s="67">
        <v>0</v>
      </c>
      <c r="AF8" s="67" t="str">
        <f>BIN2HEX(_xlfn.CONCAT(Z8,AA8,AB8,AC8,AD8,AE8),2)</f>
        <v>38</v>
      </c>
    </row>
    <row r="9" spans="2:35" ht="15" customHeight="1">
      <c r="B9" s="70" t="s">
        <v>699</v>
      </c>
      <c r="C9" s="70" t="str">
        <f t="shared" si="1"/>
        <v>0xBC</v>
      </c>
      <c r="D9" s="70" t="s">
        <v>325</v>
      </c>
      <c r="E9" s="70" t="s">
        <v>325</v>
      </c>
      <c r="F9" s="70" t="str">
        <f t="shared" si="2"/>
        <v>0xFC</v>
      </c>
      <c r="G9" s="70" t="s">
        <v>325</v>
      </c>
      <c r="H9" s="70" t="s">
        <v>331</v>
      </c>
      <c r="I9" s="73">
        <v>0</v>
      </c>
      <c r="J9" s="67" t="s">
        <v>700</v>
      </c>
      <c r="O9" s="67">
        <v>1</v>
      </c>
      <c r="P9" s="67">
        <v>0</v>
      </c>
      <c r="Q9" s="67">
        <v>1</v>
      </c>
      <c r="R9" s="67">
        <v>1</v>
      </c>
      <c r="S9" s="67">
        <v>1</v>
      </c>
      <c r="T9" s="67">
        <v>1</v>
      </c>
      <c r="U9" s="67">
        <v>0</v>
      </c>
      <c r="V9" s="67">
        <v>0</v>
      </c>
      <c r="W9" s="67" t="str">
        <f t="shared" si="0"/>
        <v>3C</v>
      </c>
      <c r="X9" s="67">
        <v>1</v>
      </c>
      <c r="Y9" s="67">
        <v>1</v>
      </c>
      <c r="Z9" s="67">
        <v>1</v>
      </c>
      <c r="AA9" s="67">
        <v>1</v>
      </c>
      <c r="AB9" s="67">
        <v>1</v>
      </c>
      <c r="AC9" s="67">
        <v>1</v>
      </c>
      <c r="AD9" s="67">
        <v>0</v>
      </c>
      <c r="AE9" s="67">
        <v>0</v>
      </c>
      <c r="AF9" s="67" t="str">
        <f>BIN2HEX(_xlfn.CONCAT(Z9,AA9,AB9,AC9,AD9,AE9),2)</f>
        <v>3C</v>
      </c>
    </row>
    <row r="10" spans="2:35" ht="15" customHeight="1">
      <c r="B10" s="69" t="s">
        <v>341</v>
      </c>
      <c r="C10" s="70" t="str">
        <f t="shared" si="1"/>
        <v>0x86</v>
      </c>
      <c r="D10" s="70" t="s">
        <v>325</v>
      </c>
      <c r="E10" s="70" t="s">
        <v>325</v>
      </c>
      <c r="F10" s="70" t="str">
        <f t="shared" si="2"/>
        <v>0xC6</v>
      </c>
      <c r="G10" s="70" t="s">
        <v>325</v>
      </c>
      <c r="H10" s="70" t="s">
        <v>331</v>
      </c>
      <c r="I10" s="73">
        <v>12</v>
      </c>
      <c r="J10" s="67" t="s">
        <v>701</v>
      </c>
      <c r="O10" s="67">
        <v>1</v>
      </c>
      <c r="P10" s="67">
        <v>0</v>
      </c>
      <c r="Q10" s="67">
        <v>0</v>
      </c>
      <c r="R10" s="67">
        <v>0</v>
      </c>
      <c r="S10" s="67">
        <v>0</v>
      </c>
      <c r="T10" s="67">
        <v>1</v>
      </c>
      <c r="U10" s="67">
        <v>1</v>
      </c>
      <c r="V10" s="67">
        <v>0</v>
      </c>
      <c r="W10" s="67" t="str">
        <f>BIN2HEX(_xlfn.CONCAT(Q10,R10,S10,T10,U10,V10),2)</f>
        <v>06</v>
      </c>
      <c r="X10" s="67">
        <v>1</v>
      </c>
      <c r="Y10" s="67">
        <v>1</v>
      </c>
      <c r="Z10" s="67">
        <v>0</v>
      </c>
      <c r="AA10" s="67">
        <v>0</v>
      </c>
      <c r="AB10" s="67">
        <v>0</v>
      </c>
      <c r="AC10" s="67">
        <v>1</v>
      </c>
      <c r="AD10" s="67">
        <v>1</v>
      </c>
      <c r="AE10" s="67">
        <v>0</v>
      </c>
      <c r="AF10" s="67" t="str">
        <f>BIN2HEX(_xlfn.CONCAT(Z10,AA10,AB10,AC10,AD10,AE10),2)</f>
        <v>06</v>
      </c>
      <c r="AI10" s="67" t="s">
        <v>700</v>
      </c>
    </row>
    <row r="11" spans="2:35" ht="15" customHeight="1">
      <c r="B11" s="69" t="s">
        <v>342</v>
      </c>
      <c r="C11" s="70" t="str">
        <f t="shared" si="1"/>
        <v>0x87</v>
      </c>
      <c r="D11" s="70" t="s">
        <v>325</v>
      </c>
      <c r="E11" s="70" t="s">
        <v>325</v>
      </c>
      <c r="F11" s="70" t="str">
        <f t="shared" si="2"/>
        <v>0xC7</v>
      </c>
      <c r="G11" s="70" t="s">
        <v>325</v>
      </c>
      <c r="H11" s="70" t="s">
        <v>331</v>
      </c>
      <c r="I11" s="73">
        <v>12</v>
      </c>
      <c r="J11" s="67" t="s">
        <v>701</v>
      </c>
      <c r="O11" s="67">
        <v>1</v>
      </c>
      <c r="P11" s="67">
        <v>0</v>
      </c>
      <c r="Q11" s="67">
        <v>0</v>
      </c>
      <c r="R11" s="67">
        <v>0</v>
      </c>
      <c r="S11" s="67">
        <v>0</v>
      </c>
      <c r="T11" s="67">
        <v>1</v>
      </c>
      <c r="U11" s="67">
        <v>1</v>
      </c>
      <c r="V11" s="67">
        <v>1</v>
      </c>
      <c r="W11" s="67" t="str">
        <f t="shared" ref="W11:W52" si="3">BIN2HEX(_xlfn.CONCAT(Q11,R11,S11,T11,U11,V11),2)</f>
        <v>07</v>
      </c>
      <c r="X11" s="67">
        <v>1</v>
      </c>
      <c r="Y11" s="67">
        <v>1</v>
      </c>
      <c r="Z11" s="67">
        <v>0</v>
      </c>
      <c r="AA11" s="67">
        <v>0</v>
      </c>
      <c r="AB11" s="67">
        <v>0</v>
      </c>
      <c r="AC11" s="67">
        <v>1</v>
      </c>
      <c r="AD11" s="67">
        <v>1</v>
      </c>
      <c r="AE11" s="67">
        <v>1</v>
      </c>
      <c r="AF11" s="67" t="str">
        <f t="shared" ref="AF11:AF26" si="4">BIN2HEX(_xlfn.CONCAT(Z11,AA11,AB11,AC11,AD11,AE11),2)</f>
        <v>07</v>
      </c>
      <c r="AI11" s="67" t="s">
        <v>700</v>
      </c>
    </row>
    <row r="12" spans="2:35" ht="15" customHeight="1">
      <c r="B12" s="70" t="s">
        <v>343</v>
      </c>
      <c r="C12" s="70" t="str">
        <f>_xlfn.CONCAT("0x",BIN2HEX(_xlfn.CONCAT(O12,P12,Q12,R12,S12,T12,U12,V12,),2))</f>
        <v>0x88</v>
      </c>
      <c r="D12" s="70" t="s">
        <v>331</v>
      </c>
      <c r="E12" s="70" t="s">
        <v>331</v>
      </c>
      <c r="F12" s="70" t="str">
        <f t="shared" si="2"/>
        <v>0xC8</v>
      </c>
      <c r="G12" s="70" t="s">
        <v>331</v>
      </c>
      <c r="H12" s="70" t="s">
        <v>331</v>
      </c>
      <c r="I12" s="73">
        <v>24</v>
      </c>
      <c r="J12" s="67" t="s">
        <v>303</v>
      </c>
      <c r="O12" s="67">
        <v>1</v>
      </c>
      <c r="P12" s="67">
        <v>0</v>
      </c>
      <c r="Q12" s="67">
        <v>0</v>
      </c>
      <c r="R12" s="67">
        <v>0</v>
      </c>
      <c r="S12" s="67">
        <v>1</v>
      </c>
      <c r="T12" s="67">
        <v>0</v>
      </c>
      <c r="U12" s="67">
        <v>0</v>
      </c>
      <c r="V12" s="67">
        <v>0</v>
      </c>
      <c r="W12" s="67" t="str">
        <f t="shared" si="3"/>
        <v>08</v>
      </c>
      <c r="X12" s="67">
        <v>1</v>
      </c>
      <c r="Y12" s="67">
        <v>1</v>
      </c>
      <c r="Z12" s="67">
        <v>0</v>
      </c>
      <c r="AA12" s="67">
        <v>0</v>
      </c>
      <c r="AB12" s="67">
        <v>1</v>
      </c>
      <c r="AC12" s="67">
        <v>0</v>
      </c>
      <c r="AD12" s="67">
        <v>0</v>
      </c>
      <c r="AE12" s="67">
        <v>0</v>
      </c>
      <c r="AF12" s="67" t="str">
        <f t="shared" si="4"/>
        <v>08</v>
      </c>
      <c r="AI12" s="67" t="s">
        <v>303</v>
      </c>
    </row>
    <row r="13" spans="2:35" ht="15" customHeight="1">
      <c r="B13" s="69" t="s">
        <v>344</v>
      </c>
      <c r="C13" s="70" t="str">
        <f t="shared" si="1"/>
        <v>0xA0</v>
      </c>
      <c r="D13" s="70" t="s">
        <v>325</v>
      </c>
      <c r="E13" s="70" t="s">
        <v>325</v>
      </c>
      <c r="F13" s="70" t="str">
        <f t="shared" si="2"/>
        <v>0xE0</v>
      </c>
      <c r="G13" s="70" t="s">
        <v>325</v>
      </c>
      <c r="H13" s="70" t="s">
        <v>331</v>
      </c>
      <c r="I13" s="73">
        <v>24</v>
      </c>
      <c r="J13" s="67" t="s">
        <v>701</v>
      </c>
      <c r="O13" s="67">
        <v>1</v>
      </c>
      <c r="P13" s="67">
        <v>0</v>
      </c>
      <c r="Q13" s="67">
        <v>1</v>
      </c>
      <c r="R13" s="67">
        <v>0</v>
      </c>
      <c r="S13" s="67">
        <v>0</v>
      </c>
      <c r="T13" s="67">
        <v>0</v>
      </c>
      <c r="U13" s="67">
        <v>0</v>
      </c>
      <c r="V13" s="67">
        <v>0</v>
      </c>
      <c r="W13" s="67" t="str">
        <f t="shared" si="3"/>
        <v>20</v>
      </c>
      <c r="X13" s="67">
        <v>1</v>
      </c>
      <c r="Y13" s="67">
        <v>1</v>
      </c>
      <c r="Z13" s="67">
        <v>1</v>
      </c>
      <c r="AA13" s="67">
        <v>0</v>
      </c>
      <c r="AB13" s="67">
        <v>0</v>
      </c>
      <c r="AC13" s="67">
        <v>0</v>
      </c>
      <c r="AD13" s="67">
        <v>0</v>
      </c>
      <c r="AE13" s="67">
        <v>0</v>
      </c>
      <c r="AF13" s="67" t="str">
        <f t="shared" si="4"/>
        <v>20</v>
      </c>
      <c r="AI13" s="67" t="s">
        <v>700</v>
      </c>
    </row>
    <row r="14" spans="2:35" ht="15" customHeight="1">
      <c r="B14" s="69" t="s">
        <v>345</v>
      </c>
      <c r="C14" s="70" t="str">
        <f t="shared" si="1"/>
        <v>0x8A</v>
      </c>
      <c r="D14" s="70" t="s">
        <v>325</v>
      </c>
      <c r="E14" s="70" t="s">
        <v>325</v>
      </c>
      <c r="F14" s="70" t="str">
        <f t="shared" si="2"/>
        <v>0xCA</v>
      </c>
      <c r="G14" s="70" t="s">
        <v>325</v>
      </c>
      <c r="H14" s="70" t="s">
        <v>331</v>
      </c>
      <c r="I14" s="73">
        <v>12</v>
      </c>
      <c r="J14" s="67" t="s">
        <v>701</v>
      </c>
      <c r="O14" s="67">
        <v>1</v>
      </c>
      <c r="P14" s="67">
        <v>0</v>
      </c>
      <c r="Q14" s="67">
        <v>0</v>
      </c>
      <c r="R14" s="67">
        <v>0</v>
      </c>
      <c r="S14" s="67">
        <v>1</v>
      </c>
      <c r="T14" s="67">
        <v>0</v>
      </c>
      <c r="U14" s="67">
        <v>1</v>
      </c>
      <c r="V14" s="67">
        <v>0</v>
      </c>
      <c r="W14" s="67" t="str">
        <f t="shared" si="3"/>
        <v>0A</v>
      </c>
      <c r="X14" s="67">
        <v>1</v>
      </c>
      <c r="Y14" s="67">
        <v>1</v>
      </c>
      <c r="Z14" s="67">
        <v>0</v>
      </c>
      <c r="AA14" s="67">
        <v>0</v>
      </c>
      <c r="AB14" s="67">
        <v>1</v>
      </c>
      <c r="AC14" s="67">
        <v>0</v>
      </c>
      <c r="AD14" s="67">
        <v>1</v>
      </c>
      <c r="AE14" s="67">
        <v>0</v>
      </c>
      <c r="AF14" s="67" t="str">
        <f t="shared" si="4"/>
        <v>0A</v>
      </c>
    </row>
    <row r="15" spans="2:35" ht="15" customHeight="1">
      <c r="B15" s="69" t="s">
        <v>346</v>
      </c>
      <c r="C15" s="70" t="str">
        <f t="shared" si="1"/>
        <v>0x8B</v>
      </c>
      <c r="D15" s="70" t="s">
        <v>325</v>
      </c>
      <c r="E15" s="70" t="s">
        <v>325</v>
      </c>
      <c r="F15" s="70" t="str">
        <f t="shared" si="2"/>
        <v>0xCB</v>
      </c>
      <c r="G15" s="70" t="s">
        <v>325</v>
      </c>
      <c r="H15" s="70" t="s">
        <v>331</v>
      </c>
      <c r="I15" s="73">
        <v>12</v>
      </c>
      <c r="J15" s="67" t="s">
        <v>701</v>
      </c>
      <c r="O15" s="67">
        <v>1</v>
      </c>
      <c r="P15" s="67">
        <v>0</v>
      </c>
      <c r="Q15" s="67">
        <v>0</v>
      </c>
      <c r="R15" s="67">
        <v>0</v>
      </c>
      <c r="S15" s="67">
        <v>1</v>
      </c>
      <c r="T15" s="67">
        <v>0</v>
      </c>
      <c r="U15" s="67">
        <v>1</v>
      </c>
      <c r="V15" s="67">
        <v>1</v>
      </c>
      <c r="W15" s="67" t="str">
        <f t="shared" si="3"/>
        <v>0B</v>
      </c>
      <c r="X15" s="67">
        <v>1</v>
      </c>
      <c r="Y15" s="67">
        <v>1</v>
      </c>
      <c r="Z15" s="67">
        <v>0</v>
      </c>
      <c r="AA15" s="67">
        <v>0</v>
      </c>
      <c r="AB15" s="67">
        <v>1</v>
      </c>
      <c r="AC15" s="67">
        <v>0</v>
      </c>
      <c r="AD15" s="67">
        <v>1</v>
      </c>
      <c r="AE15" s="67">
        <v>1</v>
      </c>
      <c r="AF15" s="67" t="str">
        <f t="shared" si="4"/>
        <v>0B</v>
      </c>
    </row>
    <row r="16" spans="2:35" ht="15" customHeight="1">
      <c r="B16" s="70" t="s">
        <v>347</v>
      </c>
      <c r="C16" s="70" t="str">
        <f t="shared" si="1"/>
        <v>0x8F</v>
      </c>
      <c r="D16" s="70" t="s">
        <v>325</v>
      </c>
      <c r="E16" s="70" t="s">
        <v>325</v>
      </c>
      <c r="F16" s="70" t="str">
        <f t="shared" si="2"/>
        <v>0xCF</v>
      </c>
      <c r="G16" s="70" t="s">
        <v>325</v>
      </c>
      <c r="H16" s="70" t="s">
        <v>331</v>
      </c>
      <c r="I16" s="73">
        <v>12</v>
      </c>
      <c r="J16" s="67" t="s">
        <v>701</v>
      </c>
      <c r="O16" s="67">
        <v>1</v>
      </c>
      <c r="P16" s="67">
        <v>0</v>
      </c>
      <c r="Q16" s="67">
        <v>0</v>
      </c>
      <c r="R16" s="67">
        <v>0</v>
      </c>
      <c r="S16" s="67">
        <v>1</v>
      </c>
      <c r="T16" s="67">
        <v>1</v>
      </c>
      <c r="U16" s="67">
        <v>1</v>
      </c>
      <c r="V16" s="67">
        <v>1</v>
      </c>
      <c r="W16" s="67" t="str">
        <f t="shared" si="3"/>
        <v>0F</v>
      </c>
      <c r="X16" s="67">
        <v>1</v>
      </c>
      <c r="Y16" s="67">
        <v>1</v>
      </c>
      <c r="Z16" s="67">
        <v>0</v>
      </c>
      <c r="AA16" s="67">
        <v>0</v>
      </c>
      <c r="AB16" s="67">
        <v>1</v>
      </c>
      <c r="AC16" s="67">
        <v>1</v>
      </c>
      <c r="AD16" s="67">
        <v>1</v>
      </c>
      <c r="AE16" s="67">
        <v>1</v>
      </c>
      <c r="AF16" s="67" t="str">
        <f t="shared" si="4"/>
        <v>0F</v>
      </c>
    </row>
    <row r="17" spans="2:32" ht="15" customHeight="1">
      <c r="B17" s="70" t="s">
        <v>348</v>
      </c>
      <c r="C17" s="70" t="str">
        <f t="shared" si="1"/>
        <v>0x90</v>
      </c>
      <c r="D17" s="70" t="s">
        <v>325</v>
      </c>
      <c r="E17" s="70" t="s">
        <v>325</v>
      </c>
      <c r="F17" s="70" t="str">
        <f t="shared" si="2"/>
        <v>0xD0</v>
      </c>
      <c r="G17" s="70" t="s">
        <v>325</v>
      </c>
      <c r="H17" s="70" t="s">
        <v>331</v>
      </c>
      <c r="I17" s="73">
        <v>12</v>
      </c>
      <c r="J17" s="67" t="s">
        <v>701</v>
      </c>
      <c r="O17" s="67">
        <v>1</v>
      </c>
      <c r="P17" s="67">
        <v>0</v>
      </c>
      <c r="Q17" s="67">
        <v>0</v>
      </c>
      <c r="R17" s="67">
        <v>1</v>
      </c>
      <c r="S17" s="67">
        <v>0</v>
      </c>
      <c r="T17" s="67">
        <v>0</v>
      </c>
      <c r="U17" s="67">
        <v>0</v>
      </c>
      <c r="V17" s="67">
        <v>0</v>
      </c>
      <c r="W17" s="67" t="str">
        <f t="shared" si="3"/>
        <v>10</v>
      </c>
      <c r="X17" s="67">
        <v>1</v>
      </c>
      <c r="Y17" s="67">
        <v>1</v>
      </c>
      <c r="Z17" s="67">
        <v>0</v>
      </c>
      <c r="AA17" s="67">
        <v>1</v>
      </c>
      <c r="AB17" s="67">
        <v>0</v>
      </c>
      <c r="AC17" s="67">
        <v>0</v>
      </c>
      <c r="AD17" s="67">
        <v>0</v>
      </c>
      <c r="AE17" s="67">
        <v>0</v>
      </c>
      <c r="AF17" s="67" t="str">
        <f t="shared" si="4"/>
        <v>10</v>
      </c>
    </row>
    <row r="18" spans="2:32" ht="15" customHeight="1">
      <c r="B18" s="70" t="s">
        <v>349</v>
      </c>
      <c r="C18" s="70" t="str">
        <f t="shared" si="1"/>
        <v>0x91</v>
      </c>
      <c r="D18" s="70" t="s">
        <v>325</v>
      </c>
      <c r="E18" s="70" t="s">
        <v>325</v>
      </c>
      <c r="F18" s="70" t="str">
        <f t="shared" si="2"/>
        <v>0xD1</v>
      </c>
      <c r="G18" s="70" t="s">
        <v>325</v>
      </c>
      <c r="H18" s="70" t="s">
        <v>331</v>
      </c>
      <c r="I18" s="73">
        <v>12</v>
      </c>
      <c r="J18" s="67" t="s">
        <v>701</v>
      </c>
      <c r="O18" s="67">
        <v>1</v>
      </c>
      <c r="P18" s="67">
        <v>0</v>
      </c>
      <c r="Q18" s="67">
        <v>0</v>
      </c>
      <c r="R18" s="67">
        <v>1</v>
      </c>
      <c r="S18" s="67">
        <v>0</v>
      </c>
      <c r="T18" s="67">
        <v>0</v>
      </c>
      <c r="U18" s="67">
        <v>0</v>
      </c>
      <c r="V18" s="67">
        <v>1</v>
      </c>
      <c r="W18" s="67" t="str">
        <f t="shared" si="3"/>
        <v>11</v>
      </c>
      <c r="X18" s="67">
        <v>1</v>
      </c>
      <c r="Y18" s="67">
        <v>1</v>
      </c>
      <c r="Z18" s="67">
        <v>0</v>
      </c>
      <c r="AA18" s="67">
        <v>1</v>
      </c>
      <c r="AB18" s="67">
        <v>0</v>
      </c>
      <c r="AC18" s="67">
        <v>0</v>
      </c>
      <c r="AD18" s="67">
        <v>0</v>
      </c>
      <c r="AE18" s="67">
        <v>1</v>
      </c>
      <c r="AF18" s="67" t="str">
        <f t="shared" si="4"/>
        <v>11</v>
      </c>
    </row>
    <row r="19" spans="2:32" ht="15" customHeight="1">
      <c r="B19" s="70" t="s">
        <v>350</v>
      </c>
      <c r="C19" s="70" t="str">
        <f t="shared" si="1"/>
        <v>0x92</v>
      </c>
      <c r="D19" s="70" t="s">
        <v>325</v>
      </c>
      <c r="E19" s="70" t="s">
        <v>325</v>
      </c>
      <c r="F19" s="70" t="str">
        <f t="shared" si="2"/>
        <v>0xD2</v>
      </c>
      <c r="G19" s="70" t="s">
        <v>325</v>
      </c>
      <c r="H19" s="70" t="s">
        <v>331</v>
      </c>
      <c r="I19" s="73">
        <v>12</v>
      </c>
      <c r="O19" s="67">
        <v>1</v>
      </c>
      <c r="P19" s="67">
        <v>0</v>
      </c>
      <c r="Q19" s="67">
        <v>0</v>
      </c>
      <c r="R19" s="67">
        <v>1</v>
      </c>
      <c r="S19" s="67">
        <v>0</v>
      </c>
      <c r="T19" s="67">
        <v>0</v>
      </c>
      <c r="U19" s="67">
        <v>1</v>
      </c>
      <c r="V19" s="67">
        <v>0</v>
      </c>
      <c r="W19" s="67" t="str">
        <f t="shared" si="3"/>
        <v>12</v>
      </c>
      <c r="X19" s="67">
        <v>1</v>
      </c>
      <c r="Y19" s="67">
        <v>1</v>
      </c>
      <c r="Z19" s="67">
        <v>0</v>
      </c>
      <c r="AA19" s="67">
        <v>1</v>
      </c>
      <c r="AB19" s="67">
        <v>0</v>
      </c>
      <c r="AC19" s="67">
        <v>0</v>
      </c>
      <c r="AD19" s="67">
        <v>1</v>
      </c>
      <c r="AE19" s="67">
        <v>0</v>
      </c>
      <c r="AF19" s="67" t="str">
        <f t="shared" si="4"/>
        <v>12</v>
      </c>
    </row>
    <row r="20" spans="2:32" ht="15" customHeight="1">
      <c r="B20" s="70" t="s">
        <v>351</v>
      </c>
      <c r="C20" s="70" t="str">
        <f t="shared" si="1"/>
        <v>0x93</v>
      </c>
      <c r="D20" s="70" t="s">
        <v>325</v>
      </c>
      <c r="E20" s="70" t="s">
        <v>325</v>
      </c>
      <c r="F20" s="70" t="str">
        <f t="shared" si="2"/>
        <v>0xD3</v>
      </c>
      <c r="G20" s="70" t="s">
        <v>325</v>
      </c>
      <c r="H20" s="70" t="s">
        <v>331</v>
      </c>
      <c r="I20" s="73">
        <v>12</v>
      </c>
      <c r="O20" s="67">
        <v>1</v>
      </c>
      <c r="P20" s="67">
        <v>0</v>
      </c>
      <c r="Q20" s="67">
        <v>0</v>
      </c>
      <c r="R20" s="67">
        <v>1</v>
      </c>
      <c r="S20" s="67">
        <v>0</v>
      </c>
      <c r="T20" s="67">
        <v>0</v>
      </c>
      <c r="U20" s="67">
        <v>1</v>
      </c>
      <c r="V20" s="67">
        <v>1</v>
      </c>
      <c r="W20" s="67" t="str">
        <f t="shared" si="3"/>
        <v>13</v>
      </c>
      <c r="X20" s="67">
        <v>1</v>
      </c>
      <c r="Y20" s="67">
        <v>1</v>
      </c>
      <c r="Z20" s="67">
        <v>0</v>
      </c>
      <c r="AA20" s="67">
        <v>1</v>
      </c>
      <c r="AB20" s="67">
        <v>0</v>
      </c>
      <c r="AC20" s="67">
        <v>0</v>
      </c>
      <c r="AD20" s="67">
        <v>1</v>
      </c>
      <c r="AE20" s="67">
        <v>1</v>
      </c>
      <c r="AF20" s="67" t="str">
        <f t="shared" si="4"/>
        <v>13</v>
      </c>
    </row>
    <row r="21" spans="2:32" ht="15" customHeight="1">
      <c r="B21" s="70" t="s">
        <v>352</v>
      </c>
      <c r="C21" s="70" t="str">
        <f t="shared" si="1"/>
        <v>0x94</v>
      </c>
      <c r="D21" s="70" t="s">
        <v>325</v>
      </c>
      <c r="E21" s="70" t="s">
        <v>325</v>
      </c>
      <c r="F21" s="70" t="str">
        <f t="shared" si="2"/>
        <v>0xD4</v>
      </c>
      <c r="G21" s="70" t="s">
        <v>325</v>
      </c>
      <c r="H21" s="70" t="s">
        <v>331</v>
      </c>
      <c r="I21" s="73">
        <v>12</v>
      </c>
      <c r="O21" s="67">
        <v>1</v>
      </c>
      <c r="P21" s="67">
        <v>0</v>
      </c>
      <c r="Q21" s="67">
        <v>0</v>
      </c>
      <c r="R21" s="67">
        <v>1</v>
      </c>
      <c r="S21" s="67">
        <v>0</v>
      </c>
      <c r="T21" s="67">
        <v>1</v>
      </c>
      <c r="U21" s="67">
        <v>0</v>
      </c>
      <c r="V21" s="67">
        <v>0</v>
      </c>
      <c r="W21" s="67" t="str">
        <f t="shared" si="3"/>
        <v>14</v>
      </c>
      <c r="X21" s="67">
        <v>1</v>
      </c>
      <c r="Y21" s="67">
        <v>1</v>
      </c>
      <c r="Z21" s="67">
        <v>0</v>
      </c>
      <c r="AA21" s="67">
        <v>1</v>
      </c>
      <c r="AB21" s="67">
        <v>0</v>
      </c>
      <c r="AC21" s="67">
        <v>1</v>
      </c>
      <c r="AD21" s="67">
        <v>0</v>
      </c>
      <c r="AE21" s="67">
        <v>0</v>
      </c>
      <c r="AF21" s="67" t="str">
        <f t="shared" si="4"/>
        <v>14</v>
      </c>
    </row>
    <row r="22" spans="2:32" ht="15" customHeight="1">
      <c r="B22" s="70" t="s">
        <v>353</v>
      </c>
      <c r="C22" s="70" t="str">
        <f t="shared" si="1"/>
        <v>0x95</v>
      </c>
      <c r="D22" s="70" t="s">
        <v>325</v>
      </c>
      <c r="E22" s="70" t="s">
        <v>325</v>
      </c>
      <c r="F22" s="70" t="str">
        <f t="shared" si="2"/>
        <v>0xD5</v>
      </c>
      <c r="G22" s="70" t="s">
        <v>325</v>
      </c>
      <c r="H22" s="70" t="s">
        <v>331</v>
      </c>
      <c r="I22" s="73">
        <v>12</v>
      </c>
      <c r="O22" s="67">
        <v>1</v>
      </c>
      <c r="P22" s="67">
        <v>0</v>
      </c>
      <c r="Q22" s="67">
        <v>0</v>
      </c>
      <c r="R22" s="67">
        <v>1</v>
      </c>
      <c r="S22" s="67">
        <v>0</v>
      </c>
      <c r="T22" s="67">
        <v>1</v>
      </c>
      <c r="U22" s="67">
        <v>0</v>
      </c>
      <c r="V22" s="67">
        <v>1</v>
      </c>
      <c r="W22" s="67" t="str">
        <f t="shared" si="3"/>
        <v>15</v>
      </c>
      <c r="X22" s="67">
        <v>1</v>
      </c>
      <c r="Y22" s="67">
        <v>1</v>
      </c>
      <c r="Z22" s="67">
        <v>0</v>
      </c>
      <c r="AA22" s="67">
        <v>1</v>
      </c>
      <c r="AB22" s="67">
        <v>0</v>
      </c>
      <c r="AC22" s="67">
        <v>1</v>
      </c>
      <c r="AD22" s="67">
        <v>0</v>
      </c>
      <c r="AE22" s="67">
        <v>1</v>
      </c>
      <c r="AF22" s="67" t="str">
        <f t="shared" si="4"/>
        <v>15</v>
      </c>
    </row>
    <row r="23" spans="2:32" ht="15" customHeight="1">
      <c r="B23" s="70" t="s">
        <v>354</v>
      </c>
      <c r="C23" s="70" t="str">
        <f t="shared" si="1"/>
        <v>0x96</v>
      </c>
      <c r="D23" s="70" t="s">
        <v>325</v>
      </c>
      <c r="E23" s="70" t="s">
        <v>325</v>
      </c>
      <c r="F23" s="70" t="str">
        <f t="shared" si="2"/>
        <v>0xD6</v>
      </c>
      <c r="G23" s="70" t="s">
        <v>325</v>
      </c>
      <c r="H23" s="70" t="s">
        <v>331</v>
      </c>
      <c r="I23" s="73">
        <v>12</v>
      </c>
      <c r="O23" s="67">
        <v>1</v>
      </c>
      <c r="P23" s="67">
        <v>0</v>
      </c>
      <c r="Q23" s="67">
        <v>0</v>
      </c>
      <c r="R23" s="67">
        <v>1</v>
      </c>
      <c r="S23" s="67">
        <v>0</v>
      </c>
      <c r="T23" s="67">
        <v>1</v>
      </c>
      <c r="U23" s="67">
        <v>1</v>
      </c>
      <c r="V23" s="67">
        <v>0</v>
      </c>
      <c r="W23" s="67" t="str">
        <f t="shared" si="3"/>
        <v>16</v>
      </c>
      <c r="X23" s="67">
        <v>1</v>
      </c>
      <c r="Y23" s="67">
        <v>1</v>
      </c>
      <c r="Z23" s="67">
        <v>0</v>
      </c>
      <c r="AA23" s="67">
        <v>1</v>
      </c>
      <c r="AB23" s="67">
        <v>0</v>
      </c>
      <c r="AC23" s="67">
        <v>1</v>
      </c>
      <c r="AD23" s="67">
        <v>1</v>
      </c>
      <c r="AE23" s="67">
        <v>0</v>
      </c>
      <c r="AF23" s="67" t="str">
        <f t="shared" si="4"/>
        <v>16</v>
      </c>
    </row>
    <row r="24" spans="2:32" ht="15" customHeight="1">
      <c r="B24" s="70" t="s">
        <v>355</v>
      </c>
      <c r="C24" s="70" t="str">
        <f t="shared" si="1"/>
        <v>0x97</v>
      </c>
      <c r="D24" s="70" t="s">
        <v>325</v>
      </c>
      <c r="E24" s="70" t="s">
        <v>325</v>
      </c>
      <c r="F24" s="70" t="str">
        <f t="shared" si="2"/>
        <v>0xD7</v>
      </c>
      <c r="G24" s="70" t="s">
        <v>325</v>
      </c>
      <c r="H24" s="70" t="s">
        <v>331</v>
      </c>
      <c r="I24" s="73">
        <v>12</v>
      </c>
      <c r="O24" s="67">
        <v>1</v>
      </c>
      <c r="P24" s="67">
        <v>0</v>
      </c>
      <c r="Q24" s="67">
        <v>0</v>
      </c>
      <c r="R24" s="67">
        <v>1</v>
      </c>
      <c r="S24" s="67">
        <v>0</v>
      </c>
      <c r="T24" s="67">
        <v>1</v>
      </c>
      <c r="U24" s="67">
        <v>1</v>
      </c>
      <c r="V24" s="67">
        <v>1</v>
      </c>
      <c r="W24" s="67" t="str">
        <f t="shared" si="3"/>
        <v>17</v>
      </c>
      <c r="X24" s="67">
        <v>1</v>
      </c>
      <c r="Y24" s="67">
        <v>1</v>
      </c>
      <c r="Z24" s="67">
        <v>0</v>
      </c>
      <c r="AA24" s="67">
        <v>1</v>
      </c>
      <c r="AB24" s="67">
        <v>0</v>
      </c>
      <c r="AC24" s="67">
        <v>1</v>
      </c>
      <c r="AD24" s="67">
        <v>1</v>
      </c>
      <c r="AE24" s="67">
        <v>1</v>
      </c>
      <c r="AF24" s="67" t="str">
        <f t="shared" si="4"/>
        <v>17</v>
      </c>
    </row>
    <row r="25" spans="2:32" ht="15" customHeight="1">
      <c r="B25" s="70" t="s">
        <v>356</v>
      </c>
      <c r="C25" s="70" t="str">
        <f t="shared" si="1"/>
        <v>0x98</v>
      </c>
      <c r="D25" s="70" t="s">
        <v>357</v>
      </c>
      <c r="E25" s="70" t="s">
        <v>325</v>
      </c>
      <c r="F25" s="70" t="str">
        <f t="shared" si="2"/>
        <v>0xD8</v>
      </c>
      <c r="G25" s="70" t="s">
        <v>325</v>
      </c>
      <c r="H25" s="70" t="s">
        <v>331</v>
      </c>
      <c r="I25" s="73">
        <v>12</v>
      </c>
      <c r="O25" s="67">
        <v>1</v>
      </c>
      <c r="P25" s="67">
        <v>0</v>
      </c>
      <c r="Q25" s="67">
        <v>0</v>
      </c>
      <c r="R25" s="67">
        <v>1</v>
      </c>
      <c r="S25" s="67">
        <v>1</v>
      </c>
      <c r="T25" s="67">
        <v>0</v>
      </c>
      <c r="U25" s="67">
        <v>0</v>
      </c>
      <c r="V25" s="67">
        <v>0</v>
      </c>
      <c r="W25" s="67" t="str">
        <f t="shared" si="3"/>
        <v>18</v>
      </c>
      <c r="X25" s="67">
        <v>1</v>
      </c>
      <c r="Y25" s="67">
        <v>1</v>
      </c>
      <c r="Z25" s="67">
        <v>0</v>
      </c>
      <c r="AA25" s="67">
        <v>1</v>
      </c>
      <c r="AB25" s="67">
        <v>1</v>
      </c>
      <c r="AC25" s="67">
        <v>0</v>
      </c>
      <c r="AD25" s="67">
        <v>0</v>
      </c>
      <c r="AE25" s="67">
        <v>0</v>
      </c>
      <c r="AF25" s="67" t="str">
        <f t="shared" si="4"/>
        <v>18</v>
      </c>
    </row>
    <row r="26" spans="2:32" ht="15" customHeight="1">
      <c r="B26" s="70" t="s">
        <v>358</v>
      </c>
      <c r="C26" s="70" t="str">
        <f t="shared" si="1"/>
        <v>0x99</v>
      </c>
      <c r="D26" s="70" t="s">
        <v>357</v>
      </c>
      <c r="E26" s="70" t="s">
        <v>325</v>
      </c>
      <c r="F26" s="70" t="str">
        <f t="shared" si="2"/>
        <v>0xD9</v>
      </c>
      <c r="G26" s="70" t="s">
        <v>325</v>
      </c>
      <c r="H26" s="70" t="s">
        <v>331</v>
      </c>
      <c r="I26" s="73">
        <v>12</v>
      </c>
      <c r="J26" s="67" t="s">
        <v>701</v>
      </c>
      <c r="O26" s="67">
        <v>1</v>
      </c>
      <c r="P26" s="67">
        <v>0</v>
      </c>
      <c r="Q26" s="67">
        <v>0</v>
      </c>
      <c r="R26" s="67">
        <v>1</v>
      </c>
      <c r="S26" s="67">
        <v>1</v>
      </c>
      <c r="T26" s="67">
        <v>0</v>
      </c>
      <c r="U26" s="67">
        <v>0</v>
      </c>
      <c r="V26" s="67">
        <v>1</v>
      </c>
      <c r="W26" s="67" t="str">
        <f t="shared" si="3"/>
        <v>19</v>
      </c>
      <c r="X26" s="67">
        <v>1</v>
      </c>
      <c r="Y26" s="67">
        <v>1</v>
      </c>
      <c r="Z26" s="67">
        <v>0</v>
      </c>
      <c r="AA26" s="67">
        <v>1</v>
      </c>
      <c r="AB26" s="67">
        <v>1</v>
      </c>
      <c r="AC26" s="67">
        <v>0</v>
      </c>
      <c r="AD26" s="67">
        <v>0</v>
      </c>
      <c r="AE26" s="67">
        <v>1</v>
      </c>
      <c r="AF26" s="67" t="str">
        <f t="shared" si="4"/>
        <v>19</v>
      </c>
    </row>
    <row r="27" spans="2:32" ht="15" customHeight="1">
      <c r="B27" s="70" t="s">
        <v>359</v>
      </c>
      <c r="C27" s="70" t="str">
        <f>_xlfn.CONCAT("0x",BIN2HEX(_xlfn.CONCAT(O27,P27,Q27,R27,S27,T27,U27,V27,),2))</f>
        <v>0x9A</v>
      </c>
      <c r="D27" s="70" t="s">
        <v>357</v>
      </c>
      <c r="E27" s="70" t="s">
        <v>325</v>
      </c>
      <c r="F27" s="70" t="str">
        <f>_xlfn.CONCAT("0x",BIN2HEX(_xlfn.CONCAT(X27,Y27,Z27,AA27,AB27,AC27,AD27,AE27),2))</f>
        <v>0xDA</v>
      </c>
      <c r="G27" s="70" t="s">
        <v>325</v>
      </c>
      <c r="H27" s="70" t="s">
        <v>331</v>
      </c>
      <c r="I27" s="73">
        <v>12</v>
      </c>
      <c r="J27" s="67" t="s">
        <v>701</v>
      </c>
      <c r="O27" s="67">
        <v>1</v>
      </c>
      <c r="P27" s="67">
        <v>0</v>
      </c>
      <c r="Q27" s="67">
        <v>0</v>
      </c>
      <c r="R27" s="67">
        <v>1</v>
      </c>
      <c r="S27" s="67">
        <v>1</v>
      </c>
      <c r="T27" s="67">
        <v>0</v>
      </c>
      <c r="U27" s="67">
        <v>1</v>
      </c>
      <c r="V27" s="67">
        <v>0</v>
      </c>
      <c r="W27" s="67" t="str">
        <f>BIN2HEX(_xlfn.CONCAT(Q27,R27,S27,T27,U27,V27),2)</f>
        <v>1A</v>
      </c>
      <c r="X27" s="67">
        <v>1</v>
      </c>
      <c r="Y27" s="67">
        <v>1</v>
      </c>
      <c r="Z27" s="67">
        <v>0</v>
      </c>
      <c r="AA27" s="67">
        <v>1</v>
      </c>
      <c r="AB27" s="67">
        <v>1</v>
      </c>
      <c r="AC27" s="67">
        <v>0</v>
      </c>
      <c r="AD27" s="67">
        <v>1</v>
      </c>
      <c r="AE27" s="67">
        <v>0</v>
      </c>
      <c r="AF27" s="67" t="str">
        <f>BIN2HEX(_xlfn.CONCAT(Z27,AA27,AB27,AC27,AD27,AE27),2)</f>
        <v>1A</v>
      </c>
    </row>
    <row r="28" spans="2:32" ht="15" customHeight="1">
      <c r="B28" s="70" t="s">
        <v>360</v>
      </c>
      <c r="C28" s="70" t="str">
        <f t="shared" si="1"/>
        <v>0x41</v>
      </c>
      <c r="D28" s="70" t="s">
        <v>325</v>
      </c>
      <c r="E28" s="70" t="s">
        <v>331</v>
      </c>
      <c r="F28" s="71"/>
      <c r="G28" s="72" t="s">
        <v>326</v>
      </c>
      <c r="H28" s="72" t="s">
        <v>326</v>
      </c>
      <c r="I28" s="73">
        <v>12</v>
      </c>
      <c r="O28" s="67">
        <v>0</v>
      </c>
      <c r="P28" s="67">
        <v>1</v>
      </c>
      <c r="Q28" s="67">
        <v>0</v>
      </c>
      <c r="R28" s="67">
        <v>0</v>
      </c>
      <c r="S28" s="67">
        <v>0</v>
      </c>
      <c r="T28" s="67">
        <v>0</v>
      </c>
      <c r="U28" s="67">
        <v>0</v>
      </c>
      <c r="V28" s="67">
        <v>1</v>
      </c>
      <c r="W28" s="67" t="str">
        <f t="shared" si="3"/>
        <v>01</v>
      </c>
    </row>
    <row r="29" spans="2:32" ht="15" customHeight="1">
      <c r="B29" s="70" t="s">
        <v>361</v>
      </c>
      <c r="C29" s="70" t="str">
        <f t="shared" si="1"/>
        <v>0x42</v>
      </c>
      <c r="D29" s="70" t="s">
        <v>325</v>
      </c>
      <c r="E29" s="70" t="s">
        <v>331</v>
      </c>
      <c r="F29" s="71"/>
      <c r="G29" s="72" t="s">
        <v>326</v>
      </c>
      <c r="H29" s="72" t="s">
        <v>326</v>
      </c>
      <c r="I29" s="73">
        <v>12</v>
      </c>
      <c r="O29" s="67">
        <v>0</v>
      </c>
      <c r="P29" s="67">
        <v>1</v>
      </c>
      <c r="Q29" s="67">
        <v>0</v>
      </c>
      <c r="R29" s="67">
        <v>0</v>
      </c>
      <c r="S29" s="67">
        <v>0</v>
      </c>
      <c r="T29" s="67">
        <v>0</v>
      </c>
      <c r="U29" s="67">
        <v>1</v>
      </c>
      <c r="V29" s="67">
        <v>0</v>
      </c>
      <c r="W29" s="67" t="str">
        <f t="shared" si="3"/>
        <v>02</v>
      </c>
    </row>
    <row r="30" spans="2:32" ht="15" customHeight="1">
      <c r="B30" s="70" t="s">
        <v>362</v>
      </c>
      <c r="C30" s="70" t="str">
        <f t="shared" si="1"/>
        <v>0x43</v>
      </c>
      <c r="D30" s="70" t="s">
        <v>325</v>
      </c>
      <c r="E30" s="70" t="s">
        <v>331</v>
      </c>
      <c r="F30" s="71"/>
      <c r="G30" s="72" t="s">
        <v>326</v>
      </c>
      <c r="H30" s="72" t="s">
        <v>326</v>
      </c>
      <c r="I30" s="73">
        <v>12</v>
      </c>
      <c r="O30" s="67">
        <v>0</v>
      </c>
      <c r="P30" s="67">
        <v>1</v>
      </c>
      <c r="Q30" s="67">
        <v>0</v>
      </c>
      <c r="R30" s="67">
        <v>0</v>
      </c>
      <c r="S30" s="67">
        <v>0</v>
      </c>
      <c r="T30" s="67">
        <v>0</v>
      </c>
      <c r="U30" s="67">
        <v>1</v>
      </c>
      <c r="V30" s="67">
        <v>1</v>
      </c>
      <c r="W30" s="67" t="str">
        <f t="shared" si="3"/>
        <v>03</v>
      </c>
    </row>
    <row r="31" spans="2:32" ht="15" customHeight="1">
      <c r="B31" s="70" t="s">
        <v>363</v>
      </c>
      <c r="C31" s="70" t="str">
        <f t="shared" si="1"/>
        <v>0x44</v>
      </c>
      <c r="D31" s="70" t="s">
        <v>325</v>
      </c>
      <c r="E31" s="70" t="s">
        <v>331</v>
      </c>
      <c r="F31" s="71"/>
      <c r="G31" s="72" t="s">
        <v>326</v>
      </c>
      <c r="H31" s="72" t="s">
        <v>326</v>
      </c>
      <c r="I31" s="73">
        <v>24</v>
      </c>
      <c r="O31" s="67">
        <v>0</v>
      </c>
      <c r="P31" s="67">
        <v>1</v>
      </c>
      <c r="Q31" s="67">
        <v>0</v>
      </c>
      <c r="R31" s="67">
        <v>0</v>
      </c>
      <c r="S31" s="67">
        <v>0</v>
      </c>
      <c r="T31" s="67">
        <v>1</v>
      </c>
      <c r="U31" s="67">
        <v>0</v>
      </c>
      <c r="V31" s="67">
        <v>0</v>
      </c>
      <c r="W31" s="67" t="str">
        <f t="shared" si="3"/>
        <v>04</v>
      </c>
    </row>
    <row r="32" spans="2:32" ht="15" customHeight="1">
      <c r="B32" s="70" t="s">
        <v>364</v>
      </c>
      <c r="C32" s="70" t="str">
        <f t="shared" si="1"/>
        <v>0x45</v>
      </c>
      <c r="D32" s="70" t="s">
        <v>325</v>
      </c>
      <c r="E32" s="70" t="s">
        <v>331</v>
      </c>
      <c r="F32" s="71"/>
      <c r="G32" s="72" t="s">
        <v>326</v>
      </c>
      <c r="H32" s="72" t="s">
        <v>326</v>
      </c>
      <c r="I32" s="73">
        <v>12</v>
      </c>
      <c r="O32" s="67">
        <v>0</v>
      </c>
      <c r="P32" s="67">
        <v>1</v>
      </c>
      <c r="Q32" s="67">
        <v>0</v>
      </c>
      <c r="R32" s="67">
        <v>0</v>
      </c>
      <c r="S32" s="67">
        <v>0</v>
      </c>
      <c r="T32" s="67">
        <v>1</v>
      </c>
      <c r="U32" s="67">
        <v>0</v>
      </c>
      <c r="V32" s="67">
        <v>1</v>
      </c>
      <c r="W32" s="67" t="str">
        <f t="shared" si="3"/>
        <v>05</v>
      </c>
    </row>
    <row r="33" spans="2:23" ht="15" customHeight="1">
      <c r="B33" s="70" t="s">
        <v>365</v>
      </c>
      <c r="C33" s="70" t="str">
        <f t="shared" si="1"/>
        <v>0x46</v>
      </c>
      <c r="D33" s="70" t="s">
        <v>325</v>
      </c>
      <c r="E33" s="70" t="s">
        <v>331</v>
      </c>
      <c r="F33" s="71"/>
      <c r="G33" s="72" t="s">
        <v>326</v>
      </c>
      <c r="H33" s="72" t="s">
        <v>326</v>
      </c>
      <c r="I33" s="73">
        <v>12</v>
      </c>
      <c r="O33" s="67">
        <v>0</v>
      </c>
      <c r="P33" s="67">
        <v>1</v>
      </c>
      <c r="Q33" s="67">
        <v>0</v>
      </c>
      <c r="R33" s="67">
        <v>0</v>
      </c>
      <c r="S33" s="67">
        <v>0</v>
      </c>
      <c r="T33" s="67">
        <v>1</v>
      </c>
      <c r="U33" s="67">
        <v>1</v>
      </c>
      <c r="V33" s="67">
        <v>0</v>
      </c>
      <c r="W33" s="67" t="str">
        <f t="shared" si="3"/>
        <v>06</v>
      </c>
    </row>
    <row r="34" spans="2:23" ht="15" customHeight="1">
      <c r="B34" s="70" t="s">
        <v>366</v>
      </c>
      <c r="C34" s="70" t="str">
        <f t="shared" si="1"/>
        <v>0x47</v>
      </c>
      <c r="D34" s="70" t="s">
        <v>325</v>
      </c>
      <c r="E34" s="70" t="s">
        <v>331</v>
      </c>
      <c r="F34" s="71"/>
      <c r="G34" s="72" t="s">
        <v>326</v>
      </c>
      <c r="H34" s="72" t="s">
        <v>326</v>
      </c>
      <c r="I34" s="73">
        <v>12</v>
      </c>
      <c r="O34" s="67">
        <v>0</v>
      </c>
      <c r="P34" s="67">
        <v>1</v>
      </c>
      <c r="Q34" s="67">
        <v>0</v>
      </c>
      <c r="R34" s="67">
        <v>0</v>
      </c>
      <c r="S34" s="67">
        <v>0</v>
      </c>
      <c r="T34" s="67">
        <v>1</v>
      </c>
      <c r="U34" s="67">
        <v>1</v>
      </c>
      <c r="V34" s="67">
        <v>1</v>
      </c>
      <c r="W34" s="67" t="str">
        <f t="shared" si="3"/>
        <v>07</v>
      </c>
    </row>
    <row r="35" spans="2:23" ht="15" customHeight="1">
      <c r="B35" s="70" t="s">
        <v>367</v>
      </c>
      <c r="C35" s="70" t="str">
        <f t="shared" si="1"/>
        <v>0x48</v>
      </c>
      <c r="D35" s="70" t="s">
        <v>325</v>
      </c>
      <c r="E35" s="70" t="s">
        <v>331</v>
      </c>
      <c r="F35" s="71"/>
      <c r="G35" s="72" t="s">
        <v>326</v>
      </c>
      <c r="H35" s="72" t="s">
        <v>326</v>
      </c>
      <c r="I35" s="73">
        <v>24</v>
      </c>
      <c r="O35" s="67">
        <v>0</v>
      </c>
      <c r="P35" s="67">
        <v>1</v>
      </c>
      <c r="Q35" s="67">
        <v>0</v>
      </c>
      <c r="R35" s="67">
        <v>0</v>
      </c>
      <c r="S35" s="67">
        <v>1</v>
      </c>
      <c r="T35" s="67">
        <v>0</v>
      </c>
      <c r="U35" s="67">
        <v>0</v>
      </c>
      <c r="V35" s="67">
        <v>0</v>
      </c>
      <c r="W35" s="67" t="str">
        <f t="shared" si="3"/>
        <v>08</v>
      </c>
    </row>
    <row r="36" spans="2:23" ht="15" customHeight="1">
      <c r="B36" s="70" t="s">
        <v>368</v>
      </c>
      <c r="C36" s="70" t="str">
        <f t="shared" si="1"/>
        <v>0x60</v>
      </c>
      <c r="D36" s="70" t="s">
        <v>325</v>
      </c>
      <c r="E36" s="70" t="s">
        <v>331</v>
      </c>
      <c r="F36" s="71"/>
      <c r="G36" s="72" t="s">
        <v>326</v>
      </c>
      <c r="H36" s="72" t="s">
        <v>326</v>
      </c>
      <c r="I36" s="73">
        <v>24</v>
      </c>
      <c r="O36" s="67">
        <v>0</v>
      </c>
      <c r="P36" s="67">
        <v>1</v>
      </c>
      <c r="Q36" s="67">
        <v>1</v>
      </c>
      <c r="R36" s="67">
        <v>0</v>
      </c>
      <c r="S36" s="67">
        <v>0</v>
      </c>
      <c r="T36" s="67">
        <v>0</v>
      </c>
      <c r="U36" s="67">
        <v>0</v>
      </c>
      <c r="V36" s="67">
        <v>0</v>
      </c>
      <c r="W36" s="67" t="str">
        <f t="shared" si="3"/>
        <v>20</v>
      </c>
    </row>
    <row r="37" spans="2:23" ht="15" customHeight="1">
      <c r="B37" s="70" t="s">
        <v>369</v>
      </c>
      <c r="C37" s="70" t="str">
        <f t="shared" si="1"/>
        <v>0x4A</v>
      </c>
      <c r="D37" s="70" t="s">
        <v>325</v>
      </c>
      <c r="E37" s="70" t="s">
        <v>331</v>
      </c>
      <c r="F37" s="71"/>
      <c r="G37" s="72" t="s">
        <v>326</v>
      </c>
      <c r="H37" s="72" t="s">
        <v>326</v>
      </c>
      <c r="I37" s="73">
        <v>12</v>
      </c>
      <c r="O37" s="67">
        <v>0</v>
      </c>
      <c r="P37" s="67">
        <v>1</v>
      </c>
      <c r="Q37" s="67">
        <v>0</v>
      </c>
      <c r="R37" s="67">
        <v>0</v>
      </c>
      <c r="S37" s="67">
        <v>1</v>
      </c>
      <c r="T37" s="67">
        <v>0</v>
      </c>
      <c r="U37" s="67">
        <v>1</v>
      </c>
      <c r="V37" s="67">
        <v>0</v>
      </c>
      <c r="W37" s="67" t="str">
        <f t="shared" si="3"/>
        <v>0A</v>
      </c>
    </row>
    <row r="38" spans="2:23" ht="15" customHeight="1">
      <c r="B38" s="70" t="s">
        <v>370</v>
      </c>
      <c r="C38" s="70" t="str">
        <f t="shared" si="1"/>
        <v>0x4B</v>
      </c>
      <c r="D38" s="70" t="s">
        <v>325</v>
      </c>
      <c r="E38" s="70" t="s">
        <v>331</v>
      </c>
      <c r="F38" s="71"/>
      <c r="G38" s="72" t="s">
        <v>326</v>
      </c>
      <c r="H38" s="72" t="s">
        <v>326</v>
      </c>
      <c r="I38" s="73">
        <v>12</v>
      </c>
      <c r="O38" s="67">
        <v>0</v>
      </c>
      <c r="P38" s="67">
        <v>1</v>
      </c>
      <c r="Q38" s="67">
        <v>0</v>
      </c>
      <c r="R38" s="67">
        <v>0</v>
      </c>
      <c r="S38" s="67">
        <v>1</v>
      </c>
      <c r="T38" s="67">
        <v>0</v>
      </c>
      <c r="U38" s="67">
        <v>1</v>
      </c>
      <c r="V38" s="67">
        <v>1</v>
      </c>
      <c r="W38" s="67" t="str">
        <f t="shared" si="3"/>
        <v>0B</v>
      </c>
    </row>
    <row r="39" spans="2:23" ht="15" customHeight="1">
      <c r="B39" s="70" t="s">
        <v>371</v>
      </c>
      <c r="C39" s="70" t="str">
        <f t="shared" si="1"/>
        <v>0x4C</v>
      </c>
      <c r="D39" s="70" t="s">
        <v>325</v>
      </c>
      <c r="E39" s="70" t="s">
        <v>331</v>
      </c>
      <c r="F39" s="71"/>
      <c r="G39" s="72" t="s">
        <v>326</v>
      </c>
      <c r="H39" s="72" t="s">
        <v>326</v>
      </c>
      <c r="I39" s="73">
        <v>12</v>
      </c>
      <c r="O39" s="67">
        <v>0</v>
      </c>
      <c r="P39" s="67">
        <v>1</v>
      </c>
      <c r="Q39" s="67">
        <v>0</v>
      </c>
      <c r="R39" s="67">
        <v>0</v>
      </c>
      <c r="S39" s="67">
        <v>1</v>
      </c>
      <c r="T39" s="67">
        <v>1</v>
      </c>
      <c r="U39" s="67">
        <v>0</v>
      </c>
      <c r="V39" s="67">
        <v>0</v>
      </c>
      <c r="W39" s="67" t="str">
        <f t="shared" si="3"/>
        <v>0C</v>
      </c>
    </row>
    <row r="40" spans="2:23" ht="15" customHeight="1">
      <c r="B40" s="70" t="s">
        <v>372</v>
      </c>
      <c r="C40" s="70" t="str">
        <f t="shared" si="1"/>
        <v>0x4D</v>
      </c>
      <c r="D40" s="70" t="s">
        <v>325</v>
      </c>
      <c r="E40" s="70" t="s">
        <v>331</v>
      </c>
      <c r="F40" s="71"/>
      <c r="G40" s="72" t="s">
        <v>326</v>
      </c>
      <c r="H40" s="72" t="s">
        <v>326</v>
      </c>
      <c r="I40" s="73">
        <v>12</v>
      </c>
      <c r="O40" s="67">
        <v>0</v>
      </c>
      <c r="P40" s="67">
        <v>1</v>
      </c>
      <c r="Q40" s="67">
        <v>0</v>
      </c>
      <c r="R40" s="67">
        <v>0</v>
      </c>
      <c r="S40" s="67">
        <v>1</v>
      </c>
      <c r="T40" s="67">
        <v>1</v>
      </c>
      <c r="U40" s="67">
        <v>0</v>
      </c>
      <c r="V40" s="67">
        <v>1</v>
      </c>
      <c r="W40" s="67" t="str">
        <f t="shared" si="3"/>
        <v>0D</v>
      </c>
    </row>
    <row r="41" spans="2:23" ht="15" customHeight="1">
      <c r="B41" s="70" t="s">
        <v>373</v>
      </c>
      <c r="C41" s="70" t="str">
        <f t="shared" si="1"/>
        <v>0x4E</v>
      </c>
      <c r="D41" s="70" t="s">
        <v>325</v>
      </c>
      <c r="E41" s="70" t="s">
        <v>331</v>
      </c>
      <c r="F41" s="71"/>
      <c r="G41" s="72" t="s">
        <v>326</v>
      </c>
      <c r="H41" s="72" t="s">
        <v>326</v>
      </c>
      <c r="I41" s="73">
        <v>12</v>
      </c>
      <c r="O41" s="67">
        <v>0</v>
      </c>
      <c r="P41" s="67">
        <v>1</v>
      </c>
      <c r="Q41" s="67">
        <v>0</v>
      </c>
      <c r="R41" s="67">
        <v>0</v>
      </c>
      <c r="S41" s="67">
        <v>1</v>
      </c>
      <c r="T41" s="67">
        <v>1</v>
      </c>
      <c r="U41" s="67">
        <v>1</v>
      </c>
      <c r="V41" s="67">
        <v>0</v>
      </c>
      <c r="W41" s="67" t="str">
        <f t="shared" si="3"/>
        <v>0E</v>
      </c>
    </row>
    <row r="42" spans="2:23" ht="15" customHeight="1">
      <c r="B42" s="70" t="s">
        <v>374</v>
      </c>
      <c r="C42" s="70" t="str">
        <f t="shared" si="1"/>
        <v>0x4F</v>
      </c>
      <c r="D42" s="70" t="s">
        <v>325</v>
      </c>
      <c r="E42" s="70" t="s">
        <v>331</v>
      </c>
      <c r="F42" s="71"/>
      <c r="G42" s="72" t="s">
        <v>326</v>
      </c>
      <c r="H42" s="72" t="s">
        <v>326</v>
      </c>
      <c r="I42" s="73">
        <v>12</v>
      </c>
      <c r="O42" s="67">
        <v>0</v>
      </c>
      <c r="P42" s="67">
        <v>1</v>
      </c>
      <c r="Q42" s="67">
        <v>0</v>
      </c>
      <c r="R42" s="67">
        <v>0</v>
      </c>
      <c r="S42" s="67">
        <v>1</v>
      </c>
      <c r="T42" s="67">
        <v>1</v>
      </c>
      <c r="U42" s="67">
        <v>1</v>
      </c>
      <c r="V42" s="67">
        <v>1</v>
      </c>
      <c r="W42" s="67" t="str">
        <f t="shared" si="3"/>
        <v>0F</v>
      </c>
    </row>
    <row r="43" spans="2:23" ht="15" customHeight="1">
      <c r="B43" s="70" t="s">
        <v>375</v>
      </c>
      <c r="C43" s="70" t="str">
        <f t="shared" si="1"/>
        <v>0x50</v>
      </c>
      <c r="D43" s="70" t="s">
        <v>325</v>
      </c>
      <c r="E43" s="70" t="s">
        <v>331</v>
      </c>
      <c r="F43" s="71"/>
      <c r="G43" s="72" t="s">
        <v>326</v>
      </c>
      <c r="H43" s="72" t="s">
        <v>326</v>
      </c>
      <c r="I43" s="73">
        <v>12</v>
      </c>
      <c r="O43" s="67">
        <v>0</v>
      </c>
      <c r="P43" s="67">
        <v>1</v>
      </c>
      <c r="Q43" s="67">
        <v>0</v>
      </c>
      <c r="R43" s="67">
        <v>1</v>
      </c>
      <c r="S43" s="67">
        <v>0</v>
      </c>
      <c r="T43" s="67">
        <v>0</v>
      </c>
      <c r="U43" s="67">
        <v>0</v>
      </c>
      <c r="V43" s="67">
        <v>0</v>
      </c>
      <c r="W43" s="67" t="str">
        <f t="shared" si="3"/>
        <v>10</v>
      </c>
    </row>
    <row r="44" spans="2:23" ht="15" customHeight="1">
      <c r="B44" s="70" t="s">
        <v>376</v>
      </c>
      <c r="C44" s="70" t="str">
        <f t="shared" si="1"/>
        <v>0x51</v>
      </c>
      <c r="D44" s="70" t="s">
        <v>325</v>
      </c>
      <c r="E44" s="70" t="s">
        <v>331</v>
      </c>
      <c r="F44" s="71"/>
      <c r="G44" s="72" t="s">
        <v>326</v>
      </c>
      <c r="H44" s="72" t="s">
        <v>326</v>
      </c>
      <c r="I44" s="73">
        <v>12</v>
      </c>
      <c r="O44" s="67">
        <v>0</v>
      </c>
      <c r="P44" s="67">
        <v>1</v>
      </c>
      <c r="Q44" s="67">
        <v>0</v>
      </c>
      <c r="R44" s="67">
        <v>1</v>
      </c>
      <c r="S44" s="67">
        <v>0</v>
      </c>
      <c r="T44" s="67">
        <v>0</v>
      </c>
      <c r="U44" s="67">
        <v>0</v>
      </c>
      <c r="V44" s="67">
        <v>1</v>
      </c>
      <c r="W44" s="67" t="str">
        <f t="shared" si="3"/>
        <v>11</v>
      </c>
    </row>
    <row r="45" spans="2:23" ht="15" customHeight="1">
      <c r="B45" s="70" t="s">
        <v>377</v>
      </c>
      <c r="C45" s="70" t="str">
        <f t="shared" si="1"/>
        <v>0x52</v>
      </c>
      <c r="D45" s="70" t="s">
        <v>325</v>
      </c>
      <c r="E45" s="70" t="s">
        <v>331</v>
      </c>
      <c r="F45" s="71"/>
      <c r="G45" s="72" t="s">
        <v>326</v>
      </c>
      <c r="H45" s="72" t="s">
        <v>326</v>
      </c>
      <c r="I45" s="73">
        <v>12</v>
      </c>
      <c r="O45" s="67">
        <v>0</v>
      </c>
      <c r="P45" s="67">
        <v>1</v>
      </c>
      <c r="Q45" s="67">
        <v>0</v>
      </c>
      <c r="R45" s="67">
        <v>1</v>
      </c>
      <c r="S45" s="67">
        <v>0</v>
      </c>
      <c r="T45" s="67">
        <v>0</v>
      </c>
      <c r="U45" s="67">
        <v>1</v>
      </c>
      <c r="V45" s="67">
        <v>0</v>
      </c>
      <c r="W45" s="67" t="str">
        <f t="shared" si="3"/>
        <v>12</v>
      </c>
    </row>
    <row r="46" spans="2:23" ht="15" customHeight="1">
      <c r="B46" s="70" t="s">
        <v>378</v>
      </c>
      <c r="C46" s="70" t="str">
        <f t="shared" si="1"/>
        <v>0x53</v>
      </c>
      <c r="D46" s="70" t="s">
        <v>325</v>
      </c>
      <c r="E46" s="70" t="s">
        <v>331</v>
      </c>
      <c r="F46" s="71"/>
      <c r="G46" s="72" t="s">
        <v>326</v>
      </c>
      <c r="H46" s="72" t="s">
        <v>326</v>
      </c>
      <c r="I46" s="73">
        <v>12</v>
      </c>
      <c r="O46" s="67">
        <v>0</v>
      </c>
      <c r="P46" s="67">
        <v>1</v>
      </c>
      <c r="Q46" s="67">
        <v>0</v>
      </c>
      <c r="R46" s="67">
        <v>1</v>
      </c>
      <c r="S46" s="67">
        <v>0</v>
      </c>
      <c r="T46" s="67">
        <v>0</v>
      </c>
      <c r="U46" s="67">
        <v>1</v>
      </c>
      <c r="V46" s="67">
        <v>1</v>
      </c>
      <c r="W46" s="67" t="str">
        <f t="shared" si="3"/>
        <v>13</v>
      </c>
    </row>
    <row r="47" spans="2:23" ht="15" customHeight="1">
      <c r="B47" s="70" t="s">
        <v>379</v>
      </c>
      <c r="C47" s="70" t="str">
        <f t="shared" si="1"/>
        <v>0x54</v>
      </c>
      <c r="D47" s="70" t="s">
        <v>325</v>
      </c>
      <c r="E47" s="70" t="s">
        <v>331</v>
      </c>
      <c r="F47" s="71"/>
      <c r="G47" s="72" t="s">
        <v>326</v>
      </c>
      <c r="H47" s="72" t="s">
        <v>326</v>
      </c>
      <c r="I47" s="73">
        <v>12</v>
      </c>
      <c r="O47" s="67">
        <v>0</v>
      </c>
      <c r="P47" s="67">
        <v>1</v>
      </c>
      <c r="Q47" s="67">
        <v>0</v>
      </c>
      <c r="R47" s="67">
        <v>1</v>
      </c>
      <c r="S47" s="67">
        <v>0</v>
      </c>
      <c r="T47" s="67">
        <v>1</v>
      </c>
      <c r="U47" s="67">
        <v>0</v>
      </c>
      <c r="V47" s="67">
        <v>0</v>
      </c>
      <c r="W47" s="67" t="str">
        <f t="shared" si="3"/>
        <v>14</v>
      </c>
    </row>
    <row r="48" spans="2:23" ht="15" customHeight="1">
      <c r="B48" s="70" t="s">
        <v>380</v>
      </c>
      <c r="C48" s="70" t="str">
        <f t="shared" si="1"/>
        <v>0x55</v>
      </c>
      <c r="D48" s="70" t="s">
        <v>325</v>
      </c>
      <c r="E48" s="70" t="s">
        <v>331</v>
      </c>
      <c r="F48" s="71"/>
      <c r="G48" s="72" t="s">
        <v>326</v>
      </c>
      <c r="H48" s="72" t="s">
        <v>326</v>
      </c>
      <c r="I48" s="73">
        <v>12</v>
      </c>
      <c r="O48" s="67">
        <v>0</v>
      </c>
      <c r="P48" s="67">
        <v>1</v>
      </c>
      <c r="Q48" s="67">
        <v>0</v>
      </c>
      <c r="R48" s="67">
        <v>1</v>
      </c>
      <c r="S48" s="67">
        <v>0</v>
      </c>
      <c r="T48" s="67">
        <v>1</v>
      </c>
      <c r="U48" s="67">
        <v>0</v>
      </c>
      <c r="V48" s="67">
        <v>1</v>
      </c>
      <c r="W48" s="67" t="str">
        <f t="shared" si="3"/>
        <v>15</v>
      </c>
    </row>
    <row r="49" spans="2:23" ht="15" customHeight="1">
      <c r="B49" s="70" t="s">
        <v>381</v>
      </c>
      <c r="C49" s="70" t="str">
        <f t="shared" si="1"/>
        <v>0x56</v>
      </c>
      <c r="D49" s="70" t="s">
        <v>325</v>
      </c>
      <c r="E49" s="70" t="s">
        <v>331</v>
      </c>
      <c r="F49" s="71"/>
      <c r="G49" s="72" t="s">
        <v>326</v>
      </c>
      <c r="H49" s="72" t="s">
        <v>326</v>
      </c>
      <c r="I49" s="73">
        <v>12</v>
      </c>
      <c r="O49" s="67">
        <v>0</v>
      </c>
      <c r="P49" s="67">
        <v>1</v>
      </c>
      <c r="Q49" s="67">
        <v>0</v>
      </c>
      <c r="R49" s="67">
        <v>1</v>
      </c>
      <c r="S49" s="67">
        <v>0</v>
      </c>
      <c r="T49" s="67">
        <v>1</v>
      </c>
      <c r="U49" s="67">
        <v>1</v>
      </c>
      <c r="V49" s="67">
        <v>0</v>
      </c>
      <c r="W49" s="67" t="str">
        <f t="shared" si="3"/>
        <v>16</v>
      </c>
    </row>
    <row r="50" spans="2:23" ht="15" customHeight="1">
      <c r="B50" s="70" t="s">
        <v>382</v>
      </c>
      <c r="C50" s="70" t="str">
        <f t="shared" si="1"/>
        <v>0x57</v>
      </c>
      <c r="D50" s="70" t="s">
        <v>325</v>
      </c>
      <c r="E50" s="70" t="s">
        <v>331</v>
      </c>
      <c r="F50" s="71"/>
      <c r="G50" s="72" t="s">
        <v>326</v>
      </c>
      <c r="H50" s="72" t="s">
        <v>326</v>
      </c>
      <c r="I50" s="73">
        <v>12</v>
      </c>
      <c r="O50" s="67">
        <v>0</v>
      </c>
      <c r="P50" s="67">
        <v>1</v>
      </c>
      <c r="Q50" s="67">
        <v>0</v>
      </c>
      <c r="R50" s="67">
        <v>1</v>
      </c>
      <c r="S50" s="67">
        <v>0</v>
      </c>
      <c r="T50" s="67">
        <v>1</v>
      </c>
      <c r="U50" s="67">
        <v>1</v>
      </c>
      <c r="V50" s="67">
        <v>1</v>
      </c>
      <c r="W50" s="67" t="str">
        <f t="shared" si="3"/>
        <v>17</v>
      </c>
    </row>
    <row r="51" spans="2:23" ht="15" customHeight="1">
      <c r="B51" s="70" t="s">
        <v>383</v>
      </c>
      <c r="C51" s="70" t="str">
        <f t="shared" si="1"/>
        <v>0x58</v>
      </c>
      <c r="D51" s="70" t="s">
        <v>325</v>
      </c>
      <c r="E51" s="70" t="s">
        <v>331</v>
      </c>
      <c r="F51" s="71"/>
      <c r="G51" s="72" t="s">
        <v>326</v>
      </c>
      <c r="H51" s="72" t="s">
        <v>326</v>
      </c>
      <c r="I51" s="73">
        <v>12</v>
      </c>
      <c r="O51" s="67">
        <v>0</v>
      </c>
      <c r="P51" s="67">
        <v>1</v>
      </c>
      <c r="Q51" s="67">
        <v>0</v>
      </c>
      <c r="R51" s="67">
        <v>1</v>
      </c>
      <c r="S51" s="67">
        <v>1</v>
      </c>
      <c r="T51" s="67">
        <v>0</v>
      </c>
      <c r="U51" s="67">
        <v>0</v>
      </c>
      <c r="V51" s="67">
        <v>0</v>
      </c>
      <c r="W51" s="67" t="str">
        <f t="shared" si="3"/>
        <v>18</v>
      </c>
    </row>
    <row r="52" spans="2:23" ht="15" customHeight="1">
      <c r="B52" s="70" t="s">
        <v>384</v>
      </c>
      <c r="C52" s="70" t="str">
        <f t="shared" si="1"/>
        <v>0x59</v>
      </c>
      <c r="D52" s="70" t="s">
        <v>325</v>
      </c>
      <c r="E52" s="70" t="s">
        <v>331</v>
      </c>
      <c r="F52" s="71"/>
      <c r="G52" s="72" t="s">
        <v>326</v>
      </c>
      <c r="H52" s="72" t="s">
        <v>326</v>
      </c>
      <c r="I52" s="73">
        <v>12</v>
      </c>
      <c r="O52" s="67">
        <v>0</v>
      </c>
      <c r="P52" s="67">
        <v>1</v>
      </c>
      <c r="Q52" s="67">
        <v>0</v>
      </c>
      <c r="R52" s="67">
        <v>1</v>
      </c>
      <c r="S52" s="67">
        <v>1</v>
      </c>
      <c r="T52" s="67">
        <v>0</v>
      </c>
      <c r="U52" s="67">
        <v>0</v>
      </c>
      <c r="V52" s="67">
        <v>1</v>
      </c>
      <c r="W52" s="67" t="str">
        <f t="shared" si="3"/>
        <v>19</v>
      </c>
    </row>
    <row r="53" spans="2:23" ht="15" customHeight="1">
      <c r="B53" s="70" t="s">
        <v>385</v>
      </c>
      <c r="C53" s="70" t="str">
        <f t="shared" si="1"/>
        <v>0x5A</v>
      </c>
      <c r="D53" s="70" t="s">
        <v>357</v>
      </c>
      <c r="E53" s="70" t="s">
        <v>331</v>
      </c>
      <c r="F53" s="71"/>
      <c r="G53" s="72" t="s">
        <v>326</v>
      </c>
      <c r="H53" s="72" t="s">
        <v>326</v>
      </c>
      <c r="I53" s="73">
        <v>12</v>
      </c>
      <c r="O53" s="67">
        <v>0</v>
      </c>
      <c r="P53" s="67">
        <v>1</v>
      </c>
      <c r="Q53" s="67">
        <v>0</v>
      </c>
      <c r="R53" s="67">
        <v>1</v>
      </c>
      <c r="S53" s="67">
        <v>1</v>
      </c>
      <c r="T53" s="67">
        <v>0</v>
      </c>
      <c r="U53" s="67">
        <v>1</v>
      </c>
      <c r="V53" s="67">
        <v>0</v>
      </c>
      <c r="W53" s="67"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tabSelected="1" zoomScale="85" zoomScaleNormal="85" workbookViewId="0"/>
  </sheetViews>
  <sheetFormatPr defaultColWidth="9" defaultRowHeight="17" customHeight="1"/>
  <cols>
    <col min="1" max="1" width="2.5625" style="4" customWidth="1"/>
    <col min="2" max="2" width="5.8125" style="12" bestFit="1" customWidth="1"/>
    <col min="3" max="3" width="15.9375" style="4" bestFit="1" customWidth="1"/>
    <col min="4" max="4" width="5.1875" style="4" bestFit="1" customWidth="1"/>
    <col min="5" max="5" width="5.3125" style="4" bestFit="1" customWidth="1"/>
    <col min="6" max="6" width="10.9375" style="4" bestFit="1" customWidth="1"/>
    <col min="7" max="7" width="4.5625" style="4" bestFit="1" customWidth="1"/>
    <col min="8" max="11" width="5.5625" style="4" bestFit="1" customWidth="1"/>
    <col min="12" max="12" width="8.0625" style="4" bestFit="1" customWidth="1"/>
    <col min="13" max="14" width="9.4375" style="4" bestFit="1" customWidth="1"/>
    <col min="15" max="15" width="9.3125" style="4" bestFit="1" customWidth="1"/>
    <col min="16" max="16" width="10.8125" style="4" bestFit="1" customWidth="1"/>
    <col min="17" max="17" width="9.9375" style="4" bestFit="1" customWidth="1"/>
    <col min="18" max="18" width="12.3125" style="4" bestFit="1" customWidth="1"/>
    <col min="19" max="19" width="10.8125" style="4" bestFit="1" customWidth="1"/>
    <col min="20" max="20" width="7.5625" style="4" bestFit="1" customWidth="1"/>
    <col min="21" max="21" width="7.4375" style="4" bestFit="1" customWidth="1"/>
    <col min="22" max="22" width="8.4375" style="4" bestFit="1" customWidth="1"/>
    <col min="23" max="23" width="8.9375" style="4" bestFit="1" customWidth="1"/>
    <col min="24" max="27" width="3.5625" style="4" bestFit="1" customWidth="1"/>
    <col min="28" max="28" width="14.4375" style="4" bestFit="1" customWidth="1"/>
    <col min="29" max="29" width="8.5625" style="4" bestFit="1" customWidth="1"/>
    <col min="30" max="16384" width="9" style="4"/>
  </cols>
  <sheetData>
    <row r="2" spans="2:29" ht="23.25">
      <c r="B2" s="2" t="s">
        <v>29</v>
      </c>
      <c r="C2" s="2" t="s">
        <v>30</v>
      </c>
      <c r="D2" s="2" t="s">
        <v>577</v>
      </c>
      <c r="E2" s="2" t="s">
        <v>576</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61" t="s">
        <v>49</v>
      </c>
      <c r="Y2" s="162"/>
      <c r="Z2" s="162"/>
      <c r="AA2" s="163"/>
      <c r="AB2" s="3" t="s">
        <v>50</v>
      </c>
      <c r="AC2" s="3" t="s">
        <v>51</v>
      </c>
    </row>
    <row r="3" spans="2:29" ht="13.15">
      <c r="B3" s="2"/>
      <c r="C3" s="2"/>
      <c r="D3" s="2"/>
      <c r="E3" s="2"/>
      <c r="F3" s="3"/>
      <c r="G3" s="3"/>
      <c r="H3" s="164" t="s">
        <v>52</v>
      </c>
      <c r="I3" s="164"/>
      <c r="J3" s="164"/>
      <c r="K3" s="164"/>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c r="B4" s="5" t="s">
        <v>61</v>
      </c>
      <c r="C4" s="5" t="s">
        <v>62</v>
      </c>
      <c r="D4" s="5" t="s">
        <v>303</v>
      </c>
      <c r="E4" s="5" t="s">
        <v>578</v>
      </c>
      <c r="F4" s="5" t="s">
        <v>63</v>
      </c>
      <c r="G4" s="5" t="s">
        <v>64</v>
      </c>
      <c r="H4" s="6" t="s">
        <v>65</v>
      </c>
      <c r="I4" s="6" t="s">
        <v>65</v>
      </c>
      <c r="J4" s="6" t="s">
        <v>65</v>
      </c>
      <c r="K4" s="6" t="s">
        <v>65</v>
      </c>
      <c r="L4" s="7" t="s">
        <v>66</v>
      </c>
      <c r="M4" s="7" t="s">
        <v>66</v>
      </c>
      <c r="N4" s="7" t="s">
        <v>66</v>
      </c>
      <c r="O4" s="7" t="s">
        <v>66</v>
      </c>
      <c r="P4" s="7" t="s">
        <v>66</v>
      </c>
      <c r="Q4" s="160" t="s">
        <v>67</v>
      </c>
      <c r="R4" s="160"/>
      <c r="S4" s="160"/>
      <c r="T4" s="160" t="s">
        <v>68</v>
      </c>
      <c r="U4" s="160"/>
      <c r="V4" s="160" t="s">
        <v>69</v>
      </c>
      <c r="W4" s="160"/>
      <c r="X4" s="6">
        <v>0</v>
      </c>
      <c r="Y4" s="6">
        <v>0</v>
      </c>
      <c r="Z4" s="6">
        <v>0</v>
      </c>
      <c r="AA4" s="6">
        <v>0</v>
      </c>
      <c r="AB4" s="9" t="s">
        <v>70</v>
      </c>
      <c r="AC4" s="5" t="str">
        <f>_xlfn.CONCAT("0x",BIN2HEX(MID(AB4,1,4),1),BIN2HEX(MID(AB4,6,4),1),BIN2HEX(MID(AB4,11,4),1))</f>
        <v>0x000</v>
      </c>
    </row>
    <row r="5" spans="2:29" ht="17" customHeight="1">
      <c r="B5" s="10" t="s">
        <v>71</v>
      </c>
      <c r="C5" s="5" t="s">
        <v>72</v>
      </c>
      <c r="D5" s="5" t="s">
        <v>303</v>
      </c>
      <c r="E5" s="5" t="s">
        <v>579</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c r="B6" s="5" t="s">
        <v>86</v>
      </c>
      <c r="C6" s="5" t="s">
        <v>87</v>
      </c>
      <c r="D6" s="5" t="s">
        <v>303</v>
      </c>
      <c r="E6" s="5" t="s">
        <v>580</v>
      </c>
      <c r="F6" s="5" t="s">
        <v>63</v>
      </c>
      <c r="G6" s="5" t="s">
        <v>64</v>
      </c>
      <c r="H6" s="6" t="s">
        <v>65</v>
      </c>
      <c r="I6" s="6" t="s">
        <v>65</v>
      </c>
      <c r="J6" s="6" t="s">
        <v>65</v>
      </c>
      <c r="K6" s="6" t="s">
        <v>65</v>
      </c>
      <c r="L6" s="7" t="s">
        <v>66</v>
      </c>
      <c r="M6" s="7" t="s">
        <v>66</v>
      </c>
      <c r="N6" s="160" t="s">
        <v>88</v>
      </c>
      <c r="O6" s="160"/>
      <c r="P6" s="160"/>
      <c r="Q6" s="160"/>
      <c r="R6" s="160"/>
      <c r="S6" s="160"/>
      <c r="T6" s="160"/>
      <c r="U6" s="160"/>
      <c r="V6" s="160"/>
      <c r="W6" s="160"/>
      <c r="X6" s="6">
        <v>0</v>
      </c>
      <c r="Y6" s="6">
        <v>0</v>
      </c>
      <c r="Z6" s="6">
        <v>0</v>
      </c>
      <c r="AA6" s="6">
        <v>0</v>
      </c>
      <c r="AB6" s="9" t="s">
        <v>70</v>
      </c>
      <c r="AC6" s="5" t="str">
        <f t="shared" si="0"/>
        <v>0x000</v>
      </c>
    </row>
    <row r="7" spans="2:29" ht="17" customHeight="1">
      <c r="B7" s="5" t="s">
        <v>89</v>
      </c>
      <c r="C7" s="5" t="s">
        <v>90</v>
      </c>
      <c r="D7" s="5" t="s">
        <v>303</v>
      </c>
      <c r="E7" s="5" t="s">
        <v>581</v>
      </c>
      <c r="F7" s="5" t="s">
        <v>63</v>
      </c>
      <c r="G7" s="5" t="s">
        <v>64</v>
      </c>
      <c r="H7" s="6" t="s">
        <v>65</v>
      </c>
      <c r="I7" s="6" t="s">
        <v>65</v>
      </c>
      <c r="J7" s="6" t="s">
        <v>65</v>
      </c>
      <c r="K7" s="6" t="s">
        <v>65</v>
      </c>
      <c r="L7" s="7" t="s">
        <v>66</v>
      </c>
      <c r="M7" s="7" t="s">
        <v>66</v>
      </c>
      <c r="N7" s="160" t="s">
        <v>91</v>
      </c>
      <c r="O7" s="160"/>
      <c r="P7" s="160"/>
      <c r="Q7" s="160"/>
      <c r="R7" s="160"/>
      <c r="S7" s="160"/>
      <c r="T7" s="160"/>
      <c r="U7" s="160"/>
      <c r="V7" s="160"/>
      <c r="W7" s="160"/>
      <c r="X7" s="6">
        <v>0</v>
      </c>
      <c r="Y7" s="6">
        <v>0</v>
      </c>
      <c r="Z7" s="6">
        <v>0</v>
      </c>
      <c r="AA7" s="6">
        <v>0</v>
      </c>
      <c r="AB7" s="9" t="s">
        <v>70</v>
      </c>
      <c r="AC7" s="5" t="str">
        <f t="shared" si="0"/>
        <v>0x000</v>
      </c>
    </row>
    <row r="8" spans="2:29" ht="17" customHeight="1">
      <c r="B8" s="10" t="s">
        <v>92</v>
      </c>
      <c r="C8" s="5" t="s">
        <v>93</v>
      </c>
      <c r="D8" s="5" t="s">
        <v>603</v>
      </c>
      <c r="E8" s="5" t="s">
        <v>582</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60" t="s">
        <v>103</v>
      </c>
      <c r="U8" s="160"/>
      <c r="V8" s="160"/>
      <c r="W8" s="160"/>
      <c r="X8" s="6">
        <v>0</v>
      </c>
      <c r="Y8" s="6">
        <v>0</v>
      </c>
      <c r="Z8" s="6">
        <v>0</v>
      </c>
      <c r="AA8" s="6">
        <v>0</v>
      </c>
      <c r="AB8" s="9" t="s">
        <v>70</v>
      </c>
      <c r="AC8" s="5" t="str">
        <f t="shared" si="0"/>
        <v>0x000</v>
      </c>
    </row>
    <row r="9" spans="2:29" ht="17" customHeight="1">
      <c r="B9" s="5" t="s">
        <v>104</v>
      </c>
      <c r="C9" s="5" t="s">
        <v>105</v>
      </c>
      <c r="D9" s="5" t="s">
        <v>604</v>
      </c>
      <c r="E9" s="5" t="s">
        <v>583</v>
      </c>
      <c r="F9" s="5" t="s">
        <v>63</v>
      </c>
      <c r="G9" s="5" t="s">
        <v>94</v>
      </c>
      <c r="H9" s="6" t="s">
        <v>65</v>
      </c>
      <c r="I9" s="6" t="s">
        <v>65</v>
      </c>
      <c r="J9" s="6" t="s">
        <v>65</v>
      </c>
      <c r="K9" s="6" t="s">
        <v>65</v>
      </c>
      <c r="L9" s="7" t="s">
        <v>66</v>
      </c>
      <c r="M9" s="7" t="s">
        <v>66</v>
      </c>
      <c r="N9" s="7" t="s">
        <v>66</v>
      </c>
      <c r="O9" s="7" t="s">
        <v>66</v>
      </c>
      <c r="P9" s="7" t="s">
        <v>66</v>
      </c>
      <c r="Q9" s="8" t="s">
        <v>106</v>
      </c>
      <c r="R9" s="155" t="s">
        <v>107</v>
      </c>
      <c r="S9" s="8" t="s">
        <v>108</v>
      </c>
      <c r="T9" s="160" t="s">
        <v>109</v>
      </c>
      <c r="U9" s="160"/>
      <c r="V9" s="160" t="s">
        <v>110</v>
      </c>
      <c r="W9" s="160"/>
      <c r="X9" s="6">
        <v>0</v>
      </c>
      <c r="Y9" s="6">
        <v>0</v>
      </c>
      <c r="Z9" s="6">
        <v>0</v>
      </c>
      <c r="AA9" s="6">
        <v>0</v>
      </c>
      <c r="AB9" s="9" t="s">
        <v>111</v>
      </c>
      <c r="AC9" s="5" t="str">
        <f>_xlfn.CONCAT("0x",BIN2HEX(MID(AB9,1,4),1),BIN2HEX(MID(AB9,6,4),1),BIN2HEX(MID(AB9,11,4),1))</f>
        <v>0x00E</v>
      </c>
    </row>
    <row r="10" spans="2:29" ht="17" customHeight="1">
      <c r="B10" s="5" t="s">
        <v>112</v>
      </c>
      <c r="C10" s="5" t="s">
        <v>113</v>
      </c>
      <c r="D10" s="5" t="s">
        <v>607</v>
      </c>
      <c r="E10" s="5" t="s">
        <v>586</v>
      </c>
      <c r="F10" s="5" t="s">
        <v>63</v>
      </c>
      <c r="G10" s="5" t="s">
        <v>94</v>
      </c>
      <c r="H10" s="6" t="s">
        <v>65</v>
      </c>
      <c r="I10" s="6" t="s">
        <v>65</v>
      </c>
      <c r="J10" s="6" t="s">
        <v>65</v>
      </c>
      <c r="K10" s="6" t="s">
        <v>65</v>
      </c>
      <c r="L10" s="7" t="s">
        <v>66</v>
      </c>
      <c r="M10" s="7" t="s">
        <v>66</v>
      </c>
      <c r="N10" s="160" t="s">
        <v>114</v>
      </c>
      <c r="O10" s="160"/>
      <c r="P10" s="160"/>
      <c r="Q10" s="160"/>
      <c r="R10" s="160"/>
      <c r="S10" s="160"/>
      <c r="T10" s="160"/>
      <c r="U10" s="160"/>
      <c r="V10" s="160"/>
      <c r="W10" s="160"/>
      <c r="X10" s="6">
        <v>0</v>
      </c>
      <c r="Y10" s="6">
        <v>0</v>
      </c>
      <c r="Z10" s="6">
        <v>0</v>
      </c>
      <c r="AA10" s="6">
        <v>0</v>
      </c>
      <c r="AB10" s="9" t="s">
        <v>70</v>
      </c>
      <c r="AC10" s="5" t="str">
        <f t="shared" si="0"/>
        <v>0x000</v>
      </c>
    </row>
    <row r="11" spans="2:29" ht="17" customHeight="1">
      <c r="B11" s="10" t="s">
        <v>115</v>
      </c>
      <c r="C11" s="5" t="s">
        <v>116</v>
      </c>
      <c r="D11" s="5" t="s">
        <v>608</v>
      </c>
      <c r="E11" s="5" t="s">
        <v>587</v>
      </c>
      <c r="F11" s="5" t="s">
        <v>63</v>
      </c>
      <c r="G11" s="5" t="s">
        <v>94</v>
      </c>
      <c r="H11" s="6" t="s">
        <v>65</v>
      </c>
      <c r="I11" s="6" t="s">
        <v>65</v>
      </c>
      <c r="J11" s="6" t="s">
        <v>65</v>
      </c>
      <c r="K11" s="6" t="s">
        <v>65</v>
      </c>
      <c r="L11" s="7" t="s">
        <v>66</v>
      </c>
      <c r="M11" s="7" t="s">
        <v>66</v>
      </c>
      <c r="N11" s="160" t="s">
        <v>117</v>
      </c>
      <c r="O11" s="160"/>
      <c r="P11" s="160"/>
      <c r="Q11" s="160"/>
      <c r="R11" s="160"/>
      <c r="S11" s="160"/>
      <c r="T11" s="160"/>
      <c r="U11" s="160"/>
      <c r="V11" s="160"/>
      <c r="W11" s="160"/>
      <c r="X11" s="6">
        <v>0</v>
      </c>
      <c r="Y11" s="6">
        <v>0</v>
      </c>
      <c r="Z11" s="6">
        <v>0</v>
      </c>
      <c r="AA11" s="6">
        <v>0</v>
      </c>
      <c r="AB11" s="9" t="s">
        <v>70</v>
      </c>
      <c r="AC11" s="5" t="str">
        <f t="shared" si="0"/>
        <v>0x000</v>
      </c>
    </row>
    <row r="12" spans="2:29" ht="17" customHeight="1">
      <c r="B12" s="5" t="s">
        <v>118</v>
      </c>
      <c r="C12" s="5" t="s">
        <v>119</v>
      </c>
      <c r="D12" s="5" t="s">
        <v>303</v>
      </c>
      <c r="E12" s="5" t="s">
        <v>588</v>
      </c>
      <c r="F12" s="5" t="s">
        <v>63</v>
      </c>
      <c r="G12" s="5" t="s">
        <v>64</v>
      </c>
      <c r="H12" s="6" t="s">
        <v>65</v>
      </c>
      <c r="I12" s="6" t="s">
        <v>65</v>
      </c>
      <c r="J12" s="6" t="s">
        <v>65</v>
      </c>
      <c r="K12" s="6" t="s">
        <v>65</v>
      </c>
      <c r="L12" s="160" t="s">
        <v>120</v>
      </c>
      <c r="M12" s="160"/>
      <c r="N12" s="160"/>
      <c r="O12" s="160"/>
      <c r="P12" s="160"/>
      <c r="Q12" s="160"/>
      <c r="R12" s="160"/>
      <c r="S12" s="160"/>
      <c r="T12" s="160"/>
      <c r="U12" s="160"/>
      <c r="V12" s="160"/>
      <c r="W12" s="160"/>
      <c r="X12" s="6">
        <v>0</v>
      </c>
      <c r="Y12" s="6">
        <v>0</v>
      </c>
      <c r="Z12" s="6">
        <v>0</v>
      </c>
      <c r="AA12" s="6">
        <v>0</v>
      </c>
      <c r="AB12" s="9" t="s">
        <v>70</v>
      </c>
      <c r="AC12" s="5" t="str">
        <f t="shared" si="0"/>
        <v>0x000</v>
      </c>
    </row>
    <row r="13" spans="2:29" ht="17" customHeight="1">
      <c r="B13" s="10" t="s">
        <v>121</v>
      </c>
      <c r="C13" s="5" t="s">
        <v>122</v>
      </c>
      <c r="D13" s="5" t="s">
        <v>303</v>
      </c>
      <c r="E13" s="5" t="s">
        <v>589</v>
      </c>
      <c r="F13" s="5" t="s">
        <v>63</v>
      </c>
      <c r="G13" s="5" t="s">
        <v>64</v>
      </c>
      <c r="H13" s="6" t="s">
        <v>65</v>
      </c>
      <c r="I13" s="6" t="s">
        <v>65</v>
      </c>
      <c r="J13" s="6" t="s">
        <v>65</v>
      </c>
      <c r="K13" s="6" t="s">
        <v>65</v>
      </c>
      <c r="L13" s="160" t="s">
        <v>123</v>
      </c>
      <c r="M13" s="160"/>
      <c r="N13" s="160"/>
      <c r="O13" s="160"/>
      <c r="P13" s="160"/>
      <c r="Q13" s="160"/>
      <c r="R13" s="160"/>
      <c r="S13" s="160"/>
      <c r="T13" s="160"/>
      <c r="U13" s="160"/>
      <c r="V13" s="160"/>
      <c r="W13" s="160"/>
      <c r="X13" s="6">
        <v>0</v>
      </c>
      <c r="Y13" s="6">
        <v>0</v>
      </c>
      <c r="Z13" s="6">
        <v>0</v>
      </c>
      <c r="AA13" s="6">
        <v>0</v>
      </c>
      <c r="AB13" s="9" t="s">
        <v>70</v>
      </c>
      <c r="AC13" s="5" t="str">
        <f t="shared" si="0"/>
        <v>0x000</v>
      </c>
    </row>
    <row r="14" spans="2:29" ht="17" customHeight="1">
      <c r="B14" s="5" t="s">
        <v>124</v>
      </c>
      <c r="C14" s="5" t="s">
        <v>125</v>
      </c>
      <c r="D14" s="5" t="s">
        <v>303</v>
      </c>
      <c r="E14" s="5" t="s">
        <v>590</v>
      </c>
      <c r="F14" s="5" t="s">
        <v>63</v>
      </c>
      <c r="G14" s="5" t="s">
        <v>64</v>
      </c>
      <c r="H14" s="6" t="s">
        <v>65</v>
      </c>
      <c r="I14" s="6" t="s">
        <v>65</v>
      </c>
      <c r="J14" s="6" t="s">
        <v>65</v>
      </c>
      <c r="K14" s="6" t="s">
        <v>65</v>
      </c>
      <c r="L14" s="160" t="s">
        <v>126</v>
      </c>
      <c r="M14" s="160"/>
      <c r="N14" s="160"/>
      <c r="O14" s="160"/>
      <c r="P14" s="160"/>
      <c r="Q14" s="160"/>
      <c r="R14" s="160"/>
      <c r="S14" s="160"/>
      <c r="T14" s="160"/>
      <c r="U14" s="160"/>
      <c r="V14" s="160"/>
      <c r="W14" s="160"/>
      <c r="X14" s="6">
        <v>0</v>
      </c>
      <c r="Y14" s="6">
        <v>0</v>
      </c>
      <c r="Z14" s="6">
        <v>0</v>
      </c>
      <c r="AA14" s="6">
        <v>0</v>
      </c>
      <c r="AB14" s="9" t="s">
        <v>70</v>
      </c>
      <c r="AC14" s="5" t="str">
        <f t="shared" si="0"/>
        <v>0x000</v>
      </c>
    </row>
    <row r="15" spans="2:29" ht="17" customHeight="1">
      <c r="B15" s="5" t="s">
        <v>127</v>
      </c>
      <c r="C15" s="5" t="s">
        <v>128</v>
      </c>
      <c r="D15" s="5" t="s">
        <v>609</v>
      </c>
      <c r="E15" s="5" t="s">
        <v>591</v>
      </c>
      <c r="F15" s="5" t="s">
        <v>63</v>
      </c>
      <c r="G15" s="5" t="s">
        <v>94</v>
      </c>
      <c r="H15" s="6" t="s">
        <v>65</v>
      </c>
      <c r="I15" s="6" t="s">
        <v>65</v>
      </c>
      <c r="J15" s="6" t="s">
        <v>65</v>
      </c>
      <c r="K15" s="6" t="s">
        <v>65</v>
      </c>
      <c r="L15" s="160" t="s">
        <v>129</v>
      </c>
      <c r="M15" s="160"/>
      <c r="N15" s="160"/>
      <c r="O15" s="160"/>
      <c r="P15" s="160" t="s">
        <v>130</v>
      </c>
      <c r="Q15" s="160"/>
      <c r="R15" s="160"/>
      <c r="S15" s="160"/>
      <c r="T15" s="160" t="s">
        <v>131</v>
      </c>
      <c r="U15" s="160"/>
      <c r="V15" s="160"/>
      <c r="W15" s="160"/>
      <c r="X15" s="6">
        <v>0</v>
      </c>
      <c r="Y15" s="6">
        <v>0</v>
      </c>
      <c r="Z15" s="6">
        <v>0</v>
      </c>
      <c r="AA15" s="6">
        <v>0</v>
      </c>
      <c r="AB15" s="9" t="s">
        <v>132</v>
      </c>
      <c r="AC15" s="5" t="str">
        <f>_xlfn.CONCAT("0x",BIN2HEX(MID(AB15,1,4),1),BIN2HEX(MID(AB15,6,4),1),BIN2HEX(MID(AB15,11,4),1))</f>
        <v>0x888</v>
      </c>
    </row>
    <row r="16" spans="2:29" ht="17" customHeight="1">
      <c r="B16" s="5" t="s">
        <v>133</v>
      </c>
      <c r="C16" s="5" t="s">
        <v>134</v>
      </c>
      <c r="D16" s="5" t="s">
        <v>610</v>
      </c>
      <c r="E16" s="5" t="s">
        <v>592</v>
      </c>
      <c r="F16" s="5" t="s">
        <v>63</v>
      </c>
      <c r="G16" s="5" t="s">
        <v>94</v>
      </c>
      <c r="H16" s="6" t="s">
        <v>65</v>
      </c>
      <c r="I16" s="6" t="s">
        <v>65</v>
      </c>
      <c r="J16" s="6" t="s">
        <v>65</v>
      </c>
      <c r="K16" s="6" t="s">
        <v>65</v>
      </c>
      <c r="L16" s="160" t="s">
        <v>135</v>
      </c>
      <c r="M16" s="160"/>
      <c r="N16" s="160"/>
      <c r="O16" s="160"/>
      <c r="P16" s="160"/>
      <c r="Q16" s="160"/>
      <c r="R16" s="160"/>
      <c r="S16" s="160"/>
      <c r="T16" s="160"/>
      <c r="U16" s="160"/>
      <c r="V16" s="160"/>
      <c r="W16" s="160"/>
      <c r="X16" s="6">
        <v>0</v>
      </c>
      <c r="Y16" s="6">
        <v>0</v>
      </c>
      <c r="Z16" s="6">
        <v>0</v>
      </c>
      <c r="AA16" s="6">
        <v>0</v>
      </c>
      <c r="AB16" s="9" t="s">
        <v>136</v>
      </c>
      <c r="AC16" s="5" t="str">
        <f t="shared" ref="AC16:AC25" si="1">_xlfn.CONCAT("0x",BIN2HEX(MID(AB16,1,4),1),BIN2HEX(MID(AB16,6,4),1),BIN2HEX(MID(AB16,11,4),1))</f>
        <v>0x200</v>
      </c>
    </row>
    <row r="17" spans="2:29" ht="17" customHeight="1">
      <c r="B17" s="5" t="s">
        <v>137</v>
      </c>
      <c r="C17" s="5" t="s">
        <v>138</v>
      </c>
      <c r="D17" s="5" t="s">
        <v>611</v>
      </c>
      <c r="E17" s="5" t="s">
        <v>593</v>
      </c>
      <c r="F17" s="5" t="s">
        <v>63</v>
      </c>
      <c r="G17" s="5" t="s">
        <v>94</v>
      </c>
      <c r="H17" s="6" t="s">
        <v>65</v>
      </c>
      <c r="I17" s="6" t="s">
        <v>65</v>
      </c>
      <c r="J17" s="6" t="s">
        <v>65</v>
      </c>
      <c r="K17" s="6" t="s">
        <v>65</v>
      </c>
      <c r="L17" s="160" t="s">
        <v>139</v>
      </c>
      <c r="M17" s="160"/>
      <c r="N17" s="160"/>
      <c r="O17" s="160"/>
      <c r="P17" s="160"/>
      <c r="Q17" s="160"/>
      <c r="R17" s="160"/>
      <c r="S17" s="160"/>
      <c r="T17" s="160"/>
      <c r="U17" s="160"/>
      <c r="V17" s="160"/>
      <c r="W17" s="160"/>
      <c r="X17" s="6">
        <v>0</v>
      </c>
      <c r="Y17" s="6">
        <v>0</v>
      </c>
      <c r="Z17" s="6">
        <v>0</v>
      </c>
      <c r="AA17" s="6">
        <v>0</v>
      </c>
      <c r="AB17" s="9" t="s">
        <v>136</v>
      </c>
      <c r="AC17" s="5" t="str">
        <f t="shared" si="1"/>
        <v>0x200</v>
      </c>
    </row>
    <row r="18" spans="2:29" ht="17" customHeight="1">
      <c r="B18" s="5" t="s">
        <v>140</v>
      </c>
      <c r="C18" s="5" t="s">
        <v>141</v>
      </c>
      <c r="D18" s="5" t="s">
        <v>612</v>
      </c>
      <c r="E18" s="5" t="s">
        <v>594</v>
      </c>
      <c r="F18" s="5" t="s">
        <v>63</v>
      </c>
      <c r="G18" s="5" t="s">
        <v>94</v>
      </c>
      <c r="H18" s="6" t="s">
        <v>65</v>
      </c>
      <c r="I18" s="6" t="s">
        <v>65</v>
      </c>
      <c r="J18" s="6" t="s">
        <v>65</v>
      </c>
      <c r="K18" s="6" t="s">
        <v>65</v>
      </c>
      <c r="L18" s="160" t="s">
        <v>142</v>
      </c>
      <c r="M18" s="160"/>
      <c r="N18" s="160"/>
      <c r="O18" s="160"/>
      <c r="P18" s="160"/>
      <c r="Q18" s="160"/>
      <c r="R18" s="160"/>
      <c r="S18" s="160"/>
      <c r="T18" s="160"/>
      <c r="U18" s="160"/>
      <c r="V18" s="160"/>
      <c r="W18" s="160"/>
      <c r="X18" s="6">
        <v>0</v>
      </c>
      <c r="Y18" s="6">
        <v>0</v>
      </c>
      <c r="Z18" s="6">
        <v>0</v>
      </c>
      <c r="AA18" s="6">
        <v>0</v>
      </c>
      <c r="AB18" s="9" t="s">
        <v>143</v>
      </c>
      <c r="AC18" s="5" t="str">
        <f t="shared" si="1"/>
        <v>0x21A</v>
      </c>
    </row>
    <row r="19" spans="2:29" ht="17" customHeight="1">
      <c r="B19" s="5" t="s">
        <v>144</v>
      </c>
      <c r="C19" s="5" t="s">
        <v>145</v>
      </c>
      <c r="D19" s="5" t="s">
        <v>613</v>
      </c>
      <c r="E19" s="5" t="s">
        <v>595</v>
      </c>
      <c r="F19" s="5" t="s">
        <v>63</v>
      </c>
      <c r="G19" s="5" t="s">
        <v>94</v>
      </c>
      <c r="H19" s="6" t="s">
        <v>65</v>
      </c>
      <c r="I19" s="6" t="s">
        <v>65</v>
      </c>
      <c r="J19" s="6" t="s">
        <v>65</v>
      </c>
      <c r="K19" s="6" t="s">
        <v>65</v>
      </c>
      <c r="L19" s="160" t="s">
        <v>146</v>
      </c>
      <c r="M19" s="160"/>
      <c r="N19" s="160"/>
      <c r="O19" s="160"/>
      <c r="P19" s="160"/>
      <c r="Q19" s="160"/>
      <c r="R19" s="160"/>
      <c r="S19" s="160"/>
      <c r="T19" s="160"/>
      <c r="U19" s="160"/>
      <c r="V19" s="160"/>
      <c r="W19" s="160"/>
      <c r="X19" s="6">
        <v>0</v>
      </c>
      <c r="Y19" s="6">
        <v>0</v>
      </c>
      <c r="Z19" s="6">
        <v>0</v>
      </c>
      <c r="AA19" s="6">
        <v>0</v>
      </c>
      <c r="AB19" s="9" t="s">
        <v>147</v>
      </c>
      <c r="AC19" s="5" t="str">
        <f t="shared" si="1"/>
        <v>0x231</v>
      </c>
    </row>
    <row r="20" spans="2:29" ht="17" customHeight="1">
      <c r="B20" s="5" t="s">
        <v>148</v>
      </c>
      <c r="C20" s="5" t="s">
        <v>149</v>
      </c>
      <c r="D20" s="5" t="s">
        <v>614</v>
      </c>
      <c r="E20" s="5" t="s">
        <v>596</v>
      </c>
      <c r="F20" s="5" t="s">
        <v>63</v>
      </c>
      <c r="G20" s="5" t="s">
        <v>94</v>
      </c>
      <c r="H20" s="6" t="s">
        <v>65</v>
      </c>
      <c r="I20" s="6" t="s">
        <v>65</v>
      </c>
      <c r="J20" s="6" t="s">
        <v>65</v>
      </c>
      <c r="K20" s="6" t="s">
        <v>65</v>
      </c>
      <c r="L20" s="160" t="s">
        <v>150</v>
      </c>
      <c r="M20" s="160"/>
      <c r="N20" s="160"/>
      <c r="O20" s="160"/>
      <c r="P20" s="160"/>
      <c r="Q20" s="160"/>
      <c r="R20" s="160"/>
      <c r="S20" s="160"/>
      <c r="T20" s="160"/>
      <c r="U20" s="160"/>
      <c r="V20" s="160"/>
      <c r="W20" s="160"/>
      <c r="X20" s="6">
        <v>0</v>
      </c>
      <c r="Y20" s="6">
        <v>0</v>
      </c>
      <c r="Z20" s="6">
        <v>0</v>
      </c>
      <c r="AA20" s="6">
        <v>0</v>
      </c>
      <c r="AB20" s="9" t="s">
        <v>151</v>
      </c>
      <c r="AC20" s="5" t="str">
        <f t="shared" si="1"/>
        <v>0x248</v>
      </c>
    </row>
    <row r="21" spans="2:29" ht="17" customHeight="1">
      <c r="B21" s="5" t="s">
        <v>152</v>
      </c>
      <c r="C21" s="5" t="s">
        <v>153</v>
      </c>
      <c r="D21" s="5" t="s">
        <v>615</v>
      </c>
      <c r="E21" s="5" t="s">
        <v>597</v>
      </c>
      <c r="F21" s="5" t="s">
        <v>63</v>
      </c>
      <c r="G21" s="5" t="s">
        <v>94</v>
      </c>
      <c r="H21" s="6" t="s">
        <v>65</v>
      </c>
      <c r="I21" s="6" t="s">
        <v>65</v>
      </c>
      <c r="J21" s="6" t="s">
        <v>65</v>
      </c>
      <c r="K21" s="6" t="s">
        <v>65</v>
      </c>
      <c r="L21" s="160" t="s">
        <v>154</v>
      </c>
      <c r="M21" s="160"/>
      <c r="N21" s="160"/>
      <c r="O21" s="160"/>
      <c r="P21" s="160"/>
      <c r="Q21" s="160"/>
      <c r="R21" s="160"/>
      <c r="S21" s="160"/>
      <c r="T21" s="160"/>
      <c r="U21" s="160"/>
      <c r="V21" s="160"/>
      <c r="W21" s="160"/>
      <c r="X21" s="6">
        <v>0</v>
      </c>
      <c r="Y21" s="6">
        <v>0</v>
      </c>
      <c r="Z21" s="6">
        <v>0</v>
      </c>
      <c r="AA21" s="6">
        <v>0</v>
      </c>
      <c r="AB21" s="9" t="s">
        <v>155</v>
      </c>
      <c r="AC21" s="5" t="str">
        <f t="shared" si="1"/>
        <v>0x25F</v>
      </c>
    </row>
    <row r="22" spans="2:29" ht="17" customHeight="1">
      <c r="B22" s="5" t="s">
        <v>156</v>
      </c>
      <c r="C22" s="5" t="s">
        <v>157</v>
      </c>
      <c r="D22" s="5" t="s">
        <v>616</v>
      </c>
      <c r="E22" s="5" t="s">
        <v>598</v>
      </c>
      <c r="F22" s="5" t="s">
        <v>63</v>
      </c>
      <c r="G22" s="5" t="s">
        <v>94</v>
      </c>
      <c r="H22" s="6" t="s">
        <v>65</v>
      </c>
      <c r="I22" s="6" t="s">
        <v>65</v>
      </c>
      <c r="J22" s="6" t="s">
        <v>65</v>
      </c>
      <c r="K22" s="6" t="s">
        <v>65</v>
      </c>
      <c r="L22" s="160" t="s">
        <v>158</v>
      </c>
      <c r="M22" s="160"/>
      <c r="N22" s="160"/>
      <c r="O22" s="160"/>
      <c r="P22" s="160"/>
      <c r="Q22" s="160"/>
      <c r="R22" s="160"/>
      <c r="S22" s="160"/>
      <c r="T22" s="160"/>
      <c r="U22" s="160"/>
      <c r="V22" s="160"/>
      <c r="W22" s="160"/>
      <c r="X22" s="6">
        <v>0</v>
      </c>
      <c r="Y22" s="6">
        <v>0</v>
      </c>
      <c r="Z22" s="6">
        <v>0</v>
      </c>
      <c r="AA22" s="6">
        <v>0</v>
      </c>
      <c r="AB22" s="9" t="s">
        <v>159</v>
      </c>
      <c r="AC22" s="5" t="str">
        <f t="shared" si="1"/>
        <v>0x276</v>
      </c>
    </row>
    <row r="23" spans="2:29" ht="17" customHeight="1">
      <c r="B23" s="5" t="s">
        <v>160</v>
      </c>
      <c r="C23" s="5" t="s">
        <v>161</v>
      </c>
      <c r="D23" s="5" t="s">
        <v>617</v>
      </c>
      <c r="E23" s="5" t="s">
        <v>599</v>
      </c>
      <c r="F23" s="5" t="s">
        <v>63</v>
      </c>
      <c r="G23" s="5" t="s">
        <v>94</v>
      </c>
      <c r="H23" s="6" t="s">
        <v>65</v>
      </c>
      <c r="I23" s="6" t="s">
        <v>65</v>
      </c>
      <c r="J23" s="6" t="s">
        <v>65</v>
      </c>
      <c r="K23" s="6" t="s">
        <v>65</v>
      </c>
      <c r="L23" s="160" t="s">
        <v>162</v>
      </c>
      <c r="M23" s="160"/>
      <c r="N23" s="160"/>
      <c r="O23" s="160"/>
      <c r="P23" s="160"/>
      <c r="Q23" s="160"/>
      <c r="R23" s="160"/>
      <c r="S23" s="160"/>
      <c r="T23" s="160"/>
      <c r="U23" s="160"/>
      <c r="V23" s="160"/>
      <c r="W23" s="160"/>
      <c r="X23" s="6">
        <v>0</v>
      </c>
      <c r="Y23" s="6">
        <v>0</v>
      </c>
      <c r="Z23" s="6">
        <v>0</v>
      </c>
      <c r="AA23" s="6">
        <v>0</v>
      </c>
      <c r="AB23" s="9" t="s">
        <v>163</v>
      </c>
      <c r="AC23" s="5" t="str">
        <f t="shared" si="1"/>
        <v>0x28D</v>
      </c>
    </row>
    <row r="24" spans="2:29" ht="17" customHeight="1">
      <c r="B24" s="5" t="s">
        <v>164</v>
      </c>
      <c r="C24" s="5" t="s">
        <v>165</v>
      </c>
      <c r="D24" s="5" t="s">
        <v>618</v>
      </c>
      <c r="E24" s="5" t="s">
        <v>600</v>
      </c>
      <c r="F24" s="5" t="s">
        <v>63</v>
      </c>
      <c r="G24" s="5" t="s">
        <v>94</v>
      </c>
      <c r="H24" s="6" t="s">
        <v>65</v>
      </c>
      <c r="I24" s="6" t="s">
        <v>65</v>
      </c>
      <c r="J24" s="6" t="s">
        <v>65</v>
      </c>
      <c r="K24" s="6" t="s">
        <v>65</v>
      </c>
      <c r="L24" s="160" t="s">
        <v>166</v>
      </c>
      <c r="M24" s="160"/>
      <c r="N24" s="160"/>
      <c r="O24" s="160"/>
      <c r="P24" s="160"/>
      <c r="Q24" s="160"/>
      <c r="R24" s="160"/>
      <c r="S24" s="160"/>
      <c r="T24" s="160"/>
      <c r="U24" s="160"/>
      <c r="V24" s="160"/>
      <c r="W24" s="160"/>
      <c r="X24" s="6">
        <v>0</v>
      </c>
      <c r="Y24" s="6">
        <v>0</v>
      </c>
      <c r="Z24" s="6">
        <v>0</v>
      </c>
      <c r="AA24" s="6">
        <v>0</v>
      </c>
      <c r="AB24" s="9" t="s">
        <v>167</v>
      </c>
      <c r="AC24" s="5" t="str">
        <f t="shared" si="1"/>
        <v>0x2A4</v>
      </c>
    </row>
    <row r="25" spans="2:29" ht="17" customHeight="1">
      <c r="B25" s="5" t="s">
        <v>168</v>
      </c>
      <c r="C25" s="5" t="s">
        <v>169</v>
      </c>
      <c r="D25" s="5" t="s">
        <v>619</v>
      </c>
      <c r="E25" s="5" t="s">
        <v>601</v>
      </c>
      <c r="F25" s="5" t="s">
        <v>63</v>
      </c>
      <c r="G25" s="5" t="s">
        <v>94</v>
      </c>
      <c r="H25" s="6" t="s">
        <v>65</v>
      </c>
      <c r="I25" s="6" t="s">
        <v>65</v>
      </c>
      <c r="J25" s="6" t="s">
        <v>65</v>
      </c>
      <c r="K25" s="6" t="s">
        <v>65</v>
      </c>
      <c r="L25" s="160" t="s">
        <v>170</v>
      </c>
      <c r="M25" s="160"/>
      <c r="N25" s="160"/>
      <c r="O25" s="160"/>
      <c r="P25" s="160"/>
      <c r="Q25" s="160"/>
      <c r="R25" s="160"/>
      <c r="S25" s="160"/>
      <c r="T25" s="160"/>
      <c r="U25" s="160"/>
      <c r="V25" s="160"/>
      <c r="W25" s="160"/>
      <c r="X25" s="6">
        <v>0</v>
      </c>
      <c r="Y25" s="6">
        <v>0</v>
      </c>
      <c r="Z25" s="6">
        <v>0</v>
      </c>
      <c r="AA25" s="6">
        <v>0</v>
      </c>
      <c r="AB25" s="9" t="s">
        <v>171</v>
      </c>
      <c r="AC25" s="5" t="str">
        <f t="shared" si="1"/>
        <v>0x2BB</v>
      </c>
    </row>
    <row r="26" spans="2:29" ht="17" customHeight="1">
      <c r="B26" s="5" t="s">
        <v>172</v>
      </c>
      <c r="C26" s="5" t="s">
        <v>173</v>
      </c>
      <c r="D26" s="5" t="s">
        <v>620</v>
      </c>
      <c r="E26" s="5" t="s">
        <v>602</v>
      </c>
      <c r="F26" s="5" t="s">
        <v>63</v>
      </c>
      <c r="G26" s="5" t="s">
        <v>94</v>
      </c>
      <c r="H26" s="6" t="s">
        <v>65</v>
      </c>
      <c r="I26" s="6" t="s">
        <v>65</v>
      </c>
      <c r="J26" s="6" t="s">
        <v>65</v>
      </c>
      <c r="K26" s="6" t="s">
        <v>65</v>
      </c>
      <c r="L26" s="160" t="s">
        <v>174</v>
      </c>
      <c r="M26" s="160"/>
      <c r="N26" s="160"/>
      <c r="O26" s="160"/>
      <c r="P26" s="160"/>
      <c r="Q26" s="160"/>
      <c r="R26" s="160"/>
      <c r="S26" s="160"/>
      <c r="T26" s="160"/>
      <c r="U26" s="160"/>
      <c r="V26" s="160"/>
      <c r="W26" s="160"/>
      <c r="X26" s="6">
        <v>0</v>
      </c>
      <c r="Y26" s="6">
        <v>0</v>
      </c>
      <c r="Z26" s="6">
        <v>0</v>
      </c>
      <c r="AA26" s="6">
        <v>0</v>
      </c>
      <c r="AB26" s="9" t="s">
        <v>175</v>
      </c>
      <c r="AC26" s="5" t="str">
        <f>_xlfn.CONCAT("0x",BIN2HEX(MID(AB26,1,4),1),BIN2HEX(MID(AB26,6,4),1),BIN2HEX(MID(AB26,11,4),1))</f>
        <v>0x800</v>
      </c>
    </row>
    <row r="28" spans="2:29" ht="17" customHeight="1">
      <c r="B28" s="165" t="s">
        <v>29</v>
      </c>
      <c r="C28" s="165" t="s">
        <v>30</v>
      </c>
      <c r="D28" s="2" t="s">
        <v>577</v>
      </c>
      <c r="E28" s="2" t="s">
        <v>576</v>
      </c>
      <c r="F28" s="166" t="s">
        <v>31</v>
      </c>
      <c r="G28" s="166"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61"/>
      <c r="Y28" s="162"/>
      <c r="Z28" s="162"/>
      <c r="AA28" s="163"/>
      <c r="AB28" s="166" t="s">
        <v>50</v>
      </c>
      <c r="AC28" s="166" t="s">
        <v>51</v>
      </c>
    </row>
    <row r="29" spans="2:29" ht="17" customHeight="1">
      <c r="B29" s="165"/>
      <c r="C29" s="165"/>
      <c r="D29" s="2"/>
      <c r="E29" s="2"/>
      <c r="F29" s="166"/>
      <c r="G29" s="166"/>
      <c r="H29" s="164" t="s">
        <v>52</v>
      </c>
      <c r="I29" s="164"/>
      <c r="J29" s="164"/>
      <c r="K29" s="164"/>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66"/>
      <c r="AC29" s="166"/>
    </row>
    <row r="30" spans="2:29" ht="17" customHeight="1">
      <c r="B30" s="8" t="s">
        <v>188</v>
      </c>
      <c r="C30" s="167" t="s">
        <v>189</v>
      </c>
      <c r="D30" s="105" t="s">
        <v>605</v>
      </c>
      <c r="E30" s="105" t="s">
        <v>584</v>
      </c>
      <c r="F30" s="167" t="s">
        <v>63</v>
      </c>
      <c r="G30" s="167" t="s">
        <v>94</v>
      </c>
      <c r="H30" s="6" t="s">
        <v>65</v>
      </c>
      <c r="I30" s="6" t="s">
        <v>65</v>
      </c>
      <c r="J30" s="6" t="s">
        <v>65</v>
      </c>
      <c r="K30" s="6" t="s">
        <v>65</v>
      </c>
      <c r="L30" s="7" t="s">
        <v>66</v>
      </c>
      <c r="M30" s="7" t="s">
        <v>66</v>
      </c>
      <c r="N30" s="7" t="s">
        <v>66</v>
      </c>
      <c r="O30" s="7" t="s">
        <v>66</v>
      </c>
      <c r="P30" s="7" t="s">
        <v>66</v>
      </c>
      <c r="Q30" s="7" t="s">
        <v>66</v>
      </c>
      <c r="R30" s="7" t="s">
        <v>66</v>
      </c>
      <c r="S30" s="7" t="s">
        <v>66</v>
      </c>
      <c r="T30" s="160" t="s">
        <v>190</v>
      </c>
      <c r="U30" s="160"/>
      <c r="V30" s="160"/>
      <c r="W30" s="160"/>
      <c r="X30" s="11"/>
      <c r="Y30" s="11"/>
      <c r="Z30" s="11"/>
      <c r="AA30" s="11"/>
      <c r="AB30" s="9" t="s">
        <v>70</v>
      </c>
      <c r="AC30" s="5" t="str">
        <f>_xlfn.CONCAT("0x",BIN2HEX(MID(AB30,1,4),1),BIN2HEX(MID(AB30,6,4),1),BIN2HEX(MID(AB30,11,4),1))</f>
        <v>0x000</v>
      </c>
    </row>
    <row r="31" spans="2:29" ht="17" customHeight="1">
      <c r="B31" s="8" t="s">
        <v>191</v>
      </c>
      <c r="C31" s="168"/>
      <c r="D31" s="106"/>
      <c r="E31" s="106"/>
      <c r="F31" s="168"/>
      <c r="G31" s="168"/>
      <c r="H31" s="6" t="s">
        <v>65</v>
      </c>
      <c r="I31" s="6" t="s">
        <v>65</v>
      </c>
      <c r="J31" s="6" t="s">
        <v>65</v>
      </c>
      <c r="K31" s="6" t="s">
        <v>65</v>
      </c>
      <c r="L31" s="160" t="s">
        <v>192</v>
      </c>
      <c r="M31" s="160"/>
      <c r="N31" s="160"/>
      <c r="O31" s="160"/>
      <c r="P31" s="160"/>
      <c r="Q31" s="160"/>
      <c r="R31" s="160"/>
      <c r="S31" s="160"/>
      <c r="T31" s="160"/>
      <c r="U31" s="160"/>
      <c r="V31" s="160"/>
      <c r="W31" s="160"/>
      <c r="X31" s="11"/>
      <c r="Y31" s="11"/>
      <c r="Z31" s="11"/>
      <c r="AA31" s="11"/>
      <c r="AB31" s="9" t="s">
        <v>70</v>
      </c>
      <c r="AC31" s="5" t="str">
        <f>_xlfn.CONCAT("0x",BIN2HEX(MID(AB31,1,4),1),BIN2HEX(MID(AB31,6,4),1),BIN2HEX(MID(AB31,11,4),1))</f>
        <v>0x000</v>
      </c>
    </row>
    <row r="32" spans="2:29" ht="17" customHeight="1">
      <c r="B32" s="8" t="s">
        <v>193</v>
      </c>
      <c r="C32" s="167" t="s">
        <v>194</v>
      </c>
      <c r="D32" s="105" t="s">
        <v>606</v>
      </c>
      <c r="E32" s="105" t="s">
        <v>585</v>
      </c>
      <c r="F32" s="167" t="s">
        <v>63</v>
      </c>
      <c r="G32" s="167" t="s">
        <v>94</v>
      </c>
      <c r="H32" s="6" t="s">
        <v>65</v>
      </c>
      <c r="I32" s="6" t="s">
        <v>65</v>
      </c>
      <c r="J32" s="6" t="s">
        <v>65</v>
      </c>
      <c r="K32" s="6" t="s">
        <v>65</v>
      </c>
      <c r="L32" s="160" t="s">
        <v>195</v>
      </c>
      <c r="M32" s="160"/>
      <c r="N32" s="160"/>
      <c r="O32" s="160"/>
      <c r="P32" s="160"/>
      <c r="Q32" s="160"/>
      <c r="R32" s="160"/>
      <c r="S32" s="160"/>
      <c r="T32" s="160" t="s">
        <v>196</v>
      </c>
      <c r="U32" s="160"/>
      <c r="V32" s="160"/>
      <c r="W32" s="160"/>
      <c r="X32" s="11"/>
      <c r="Y32" s="11"/>
      <c r="Z32" s="11"/>
      <c r="AA32" s="11"/>
      <c r="AB32" s="9" t="s">
        <v>70</v>
      </c>
      <c r="AC32" s="5" t="str">
        <f>_xlfn.CONCAT("0x",BIN2HEX(MID(AB32,1,4),1),BIN2HEX(MID(AB32,6,4),1),BIN2HEX(MID(AB32,11,4),1))</f>
        <v>0x000</v>
      </c>
    </row>
    <row r="33" spans="2:29" ht="17" customHeight="1">
      <c r="B33" s="8" t="s">
        <v>197</v>
      </c>
      <c r="C33" s="168"/>
      <c r="D33" s="106"/>
      <c r="E33" s="106"/>
      <c r="F33" s="168"/>
      <c r="G33" s="168"/>
      <c r="H33" s="6" t="s">
        <v>65</v>
      </c>
      <c r="I33" s="6" t="s">
        <v>65</v>
      </c>
      <c r="J33" s="6" t="s">
        <v>65</v>
      </c>
      <c r="K33" s="6" t="s">
        <v>65</v>
      </c>
      <c r="L33" s="160" t="s">
        <v>689</v>
      </c>
      <c r="M33" s="160"/>
      <c r="N33" s="160"/>
      <c r="O33" s="160"/>
      <c r="P33" s="160" t="s">
        <v>198</v>
      </c>
      <c r="Q33" s="160"/>
      <c r="R33" s="160"/>
      <c r="S33" s="160"/>
      <c r="T33" s="160"/>
      <c r="U33" s="160"/>
      <c r="V33" s="160"/>
      <c r="W33" s="160"/>
      <c r="X33" s="11"/>
      <c r="Y33" s="11"/>
      <c r="Z33" s="11"/>
      <c r="AA33" s="11"/>
      <c r="AB33" s="9" t="s">
        <v>70</v>
      </c>
      <c r="AC33" s="5" t="str">
        <f>_xlfn.CONCAT("0x",BIN2HEX(MID(AB33,1,4),1),BIN2HEX(MID(AB33,6,4),1),BIN2HEX(MID(AB33,11,4),1))</f>
        <v>0x000</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13" zoomScaleNormal="100" workbookViewId="0"/>
  </sheetViews>
  <sheetFormatPr defaultColWidth="9" defaultRowHeight="16.899999999999999"/>
  <cols>
    <col min="1" max="1" width="2.5625" style="76" customWidth="1"/>
    <col min="2" max="2" width="12.5625" style="76" customWidth="1"/>
    <col min="3" max="3" width="10.5625" style="76" customWidth="1"/>
    <col min="4" max="4" width="5.5625" style="76" customWidth="1"/>
    <col min="5" max="17" width="10.5625" style="76" customWidth="1"/>
    <col min="18" max="20" width="9" style="76"/>
    <col min="21" max="21" width="12.6875" style="76" bestFit="1" customWidth="1"/>
    <col min="22" max="16384" width="9" style="76"/>
  </cols>
  <sheetData>
    <row r="3" spans="2:17" ht="17.25" thickBot="1"/>
    <row r="4" spans="2:17">
      <c r="E4" s="173" t="s">
        <v>386</v>
      </c>
      <c r="F4" s="173"/>
      <c r="G4" s="173"/>
      <c r="H4" s="173"/>
      <c r="I4" s="173"/>
      <c r="J4" s="173"/>
      <c r="K4" s="173"/>
      <c r="L4" s="173"/>
      <c r="M4" s="173"/>
      <c r="N4" s="173"/>
      <c r="O4" s="173"/>
      <c r="P4" s="173"/>
      <c r="Q4" s="174"/>
    </row>
    <row r="5" spans="2:17">
      <c r="E5" s="175" t="s">
        <v>387</v>
      </c>
      <c r="F5" s="175"/>
      <c r="G5" s="175"/>
      <c r="H5" s="175"/>
      <c r="I5" s="175"/>
      <c r="J5" s="175"/>
      <c r="K5" s="175"/>
      <c r="L5" s="175"/>
      <c r="M5" s="175"/>
      <c r="N5" s="175"/>
      <c r="O5" s="175"/>
      <c r="P5" s="175"/>
      <c r="Q5" s="176"/>
    </row>
    <row r="6" spans="2:17" ht="17.25" thickBot="1">
      <c r="E6" s="169" t="s">
        <v>388</v>
      </c>
      <c r="F6" s="169"/>
      <c r="G6" s="169"/>
      <c r="H6" s="169"/>
      <c r="I6" s="169"/>
      <c r="J6" s="169"/>
      <c r="K6" s="169"/>
      <c r="L6" s="169"/>
      <c r="M6" s="169"/>
      <c r="N6" s="169"/>
      <c r="O6" s="169"/>
      <c r="P6" s="169"/>
      <c r="Q6" s="170"/>
    </row>
    <row r="7" spans="2:17">
      <c r="E7" s="77"/>
      <c r="F7" s="77"/>
      <c r="G7" s="77"/>
      <c r="H7" s="77"/>
      <c r="I7" s="77"/>
      <c r="J7" s="77"/>
      <c r="K7" s="77"/>
      <c r="L7" s="77"/>
      <c r="M7" s="77"/>
      <c r="N7" s="77"/>
      <c r="O7" s="77"/>
      <c r="P7" s="77"/>
      <c r="Q7" s="77"/>
    </row>
    <row r="8" spans="2:17" ht="17.25" thickBot="1"/>
    <row r="9" spans="2:17">
      <c r="E9" s="173" t="s">
        <v>389</v>
      </c>
      <c r="F9" s="173"/>
      <c r="G9" s="173"/>
      <c r="H9" s="173"/>
      <c r="I9" s="173"/>
      <c r="J9" s="173"/>
      <c r="K9" s="173"/>
      <c r="L9" s="173"/>
      <c r="M9" s="173"/>
      <c r="N9" s="173"/>
      <c r="O9" s="173"/>
      <c r="P9" s="173"/>
      <c r="Q9" s="174"/>
    </row>
    <row r="10" spans="2:17">
      <c r="E10" s="175" t="s">
        <v>390</v>
      </c>
      <c r="F10" s="175"/>
      <c r="G10" s="175"/>
      <c r="H10" s="175"/>
      <c r="I10" s="175"/>
      <c r="J10" s="175"/>
      <c r="K10" s="175"/>
      <c r="L10" s="175"/>
      <c r="M10" s="175"/>
      <c r="N10" s="175"/>
      <c r="O10" s="175"/>
      <c r="P10" s="175"/>
      <c r="Q10" s="176"/>
    </row>
    <row r="11" spans="2:17">
      <c r="E11" s="175" t="s">
        <v>391</v>
      </c>
      <c r="F11" s="175"/>
      <c r="G11" s="175"/>
      <c r="H11" s="175"/>
      <c r="I11" s="175"/>
      <c r="J11" s="175"/>
      <c r="K11" s="175"/>
      <c r="L11" s="175"/>
      <c r="M11" s="175"/>
      <c r="N11" s="175"/>
      <c r="O11" s="175"/>
      <c r="P11" s="175"/>
      <c r="Q11" s="176"/>
    </row>
    <row r="12" spans="2:17" ht="17.25" thickBot="1">
      <c r="E12" s="169" t="s">
        <v>392</v>
      </c>
      <c r="F12" s="169"/>
      <c r="G12" s="169"/>
      <c r="H12" s="169"/>
      <c r="I12" s="169"/>
      <c r="J12" s="169"/>
      <c r="K12" s="169"/>
      <c r="L12" s="169"/>
      <c r="M12" s="169"/>
      <c r="N12" s="169"/>
      <c r="O12" s="169"/>
      <c r="P12" s="169"/>
      <c r="Q12" s="170"/>
    </row>
    <row r="13" spans="2:17">
      <c r="E13" s="77"/>
      <c r="F13" s="77"/>
      <c r="G13" s="77"/>
      <c r="H13" s="77"/>
      <c r="I13" s="77"/>
      <c r="J13" s="77"/>
      <c r="K13" s="77"/>
      <c r="L13" s="77"/>
      <c r="M13" s="77"/>
      <c r="N13" s="77"/>
      <c r="O13" s="77"/>
      <c r="P13" s="77"/>
      <c r="Q13" s="77"/>
    </row>
    <row r="16" spans="2:17">
      <c r="B16" s="78" t="s">
        <v>393</v>
      </c>
      <c r="C16" s="78" t="s">
        <v>394</v>
      </c>
      <c r="E16" s="79"/>
      <c r="F16" s="79" t="s">
        <v>395</v>
      </c>
      <c r="G16" s="79" t="s">
        <v>396</v>
      </c>
      <c r="H16" s="79" t="s">
        <v>397</v>
      </c>
      <c r="I16" s="79" t="s">
        <v>398</v>
      </c>
      <c r="J16" s="79" t="s">
        <v>399</v>
      </c>
      <c r="K16" s="79" t="s">
        <v>400</v>
      </c>
      <c r="L16" s="79" t="s">
        <v>401</v>
      </c>
      <c r="M16" s="79" t="s">
        <v>402</v>
      </c>
      <c r="N16" s="79" t="s">
        <v>403</v>
      </c>
      <c r="O16" s="79" t="s">
        <v>404</v>
      </c>
      <c r="P16" s="79" t="s">
        <v>405</v>
      </c>
      <c r="Q16" s="79" t="s">
        <v>406</v>
      </c>
    </row>
    <row r="17" spans="2:17">
      <c r="B17" s="80" t="s">
        <v>407</v>
      </c>
      <c r="C17" s="80" t="s">
        <v>61</v>
      </c>
      <c r="E17" s="79" t="s">
        <v>408</v>
      </c>
      <c r="F17" s="81" t="s">
        <v>244</v>
      </c>
      <c r="G17" s="81" t="s">
        <v>244</v>
      </c>
      <c r="H17" s="81" t="s">
        <v>244</v>
      </c>
      <c r="I17" s="81" t="s">
        <v>244</v>
      </c>
      <c r="J17" s="81" t="s">
        <v>244</v>
      </c>
      <c r="K17" s="171" t="s">
        <v>67</v>
      </c>
      <c r="L17" s="171"/>
      <c r="M17" s="171"/>
      <c r="N17" s="171" t="s">
        <v>68</v>
      </c>
      <c r="O17" s="171"/>
      <c r="P17" s="171" t="s">
        <v>69</v>
      </c>
      <c r="Q17" s="172"/>
    </row>
    <row r="18" spans="2:17">
      <c r="E18" s="79" t="s">
        <v>409</v>
      </c>
      <c r="F18" s="82"/>
      <c r="G18" s="82"/>
      <c r="H18" s="82"/>
      <c r="I18" s="82"/>
      <c r="J18" s="82"/>
      <c r="K18" s="171" t="s">
        <v>410</v>
      </c>
      <c r="L18" s="171"/>
      <c r="M18" s="171"/>
      <c r="N18" s="171" t="s">
        <v>410</v>
      </c>
      <c r="O18" s="171"/>
      <c r="P18" s="171" t="s">
        <v>410</v>
      </c>
      <c r="Q18" s="172"/>
    </row>
    <row r="19" spans="2:17">
      <c r="E19" s="79" t="s">
        <v>386</v>
      </c>
      <c r="F19" s="82"/>
      <c r="G19" s="82"/>
      <c r="H19" s="82"/>
      <c r="I19" s="82"/>
      <c r="J19" s="82"/>
      <c r="K19" s="171" t="s">
        <v>411</v>
      </c>
      <c r="L19" s="171"/>
      <c r="M19" s="171"/>
      <c r="N19" s="171" t="s">
        <v>411</v>
      </c>
      <c r="O19" s="171"/>
      <c r="P19" s="171" t="s">
        <v>411</v>
      </c>
      <c r="Q19" s="172"/>
    </row>
    <row r="20" spans="2:17">
      <c r="E20" s="79" t="s">
        <v>389</v>
      </c>
      <c r="F20" s="82"/>
      <c r="G20" s="82"/>
      <c r="H20" s="82"/>
      <c r="I20" s="82"/>
      <c r="J20" s="82"/>
      <c r="K20" s="171" t="s">
        <v>412</v>
      </c>
      <c r="L20" s="171"/>
      <c r="M20" s="171"/>
      <c r="N20" s="171" t="s">
        <v>412</v>
      </c>
      <c r="O20" s="171"/>
      <c r="P20" s="171" t="s">
        <v>412</v>
      </c>
      <c r="Q20" s="172"/>
    </row>
    <row r="21" spans="2:17" ht="301.5" customHeight="1">
      <c r="E21" s="79" t="s">
        <v>413</v>
      </c>
      <c r="F21" s="177" t="s">
        <v>414</v>
      </c>
      <c r="G21" s="177"/>
      <c r="H21" s="177"/>
      <c r="I21" s="177"/>
      <c r="J21" s="177"/>
      <c r="K21" s="177"/>
      <c r="L21" s="177"/>
      <c r="M21" s="177"/>
      <c r="N21" s="177"/>
      <c r="O21" s="177"/>
      <c r="P21" s="177"/>
      <c r="Q21" s="177"/>
    </row>
    <row r="23" spans="2:17">
      <c r="B23" s="78" t="s">
        <v>393</v>
      </c>
      <c r="C23" s="78" t="s">
        <v>394</v>
      </c>
      <c r="E23" s="79"/>
      <c r="F23" s="79" t="s">
        <v>395</v>
      </c>
      <c r="G23" s="79" t="s">
        <v>396</v>
      </c>
      <c r="H23" s="79" t="s">
        <v>397</v>
      </c>
      <c r="I23" s="79" t="s">
        <v>398</v>
      </c>
      <c r="J23" s="79" t="s">
        <v>399</v>
      </c>
      <c r="K23" s="79" t="s">
        <v>400</v>
      </c>
      <c r="L23" s="79" t="s">
        <v>401</v>
      </c>
      <c r="M23" s="79" t="s">
        <v>402</v>
      </c>
      <c r="N23" s="79" t="s">
        <v>403</v>
      </c>
      <c r="O23" s="79" t="s">
        <v>404</v>
      </c>
      <c r="P23" s="79" t="s">
        <v>405</v>
      </c>
      <c r="Q23" s="79" t="s">
        <v>406</v>
      </c>
    </row>
    <row r="24" spans="2:17">
      <c r="B24" s="80" t="s">
        <v>415</v>
      </c>
      <c r="C24" s="80" t="s">
        <v>71</v>
      </c>
      <c r="E24" s="79" t="s">
        <v>408</v>
      </c>
      <c r="F24" s="82" t="s">
        <v>74</v>
      </c>
      <c r="G24" s="82" t="s">
        <v>75</v>
      </c>
      <c r="H24" s="82" t="s">
        <v>76</v>
      </c>
      <c r="I24" s="82" t="s">
        <v>77</v>
      </c>
      <c r="J24" s="82" t="s">
        <v>78</v>
      </c>
      <c r="K24" s="82" t="s">
        <v>79</v>
      </c>
      <c r="L24" s="82" t="s">
        <v>80</v>
      </c>
      <c r="M24" s="82" t="s">
        <v>81</v>
      </c>
      <c r="N24" s="82" t="s">
        <v>82</v>
      </c>
      <c r="O24" s="82" t="s">
        <v>83</v>
      </c>
      <c r="P24" s="82" t="s">
        <v>84</v>
      </c>
      <c r="Q24" s="82" t="s">
        <v>85</v>
      </c>
    </row>
    <row r="25" spans="2:17">
      <c r="E25" s="79" t="s">
        <v>409</v>
      </c>
      <c r="F25" s="82">
        <v>0</v>
      </c>
      <c r="G25" s="82">
        <v>0</v>
      </c>
      <c r="H25" s="82">
        <v>0</v>
      </c>
      <c r="I25" s="82">
        <v>0</v>
      </c>
      <c r="J25" s="82">
        <v>0</v>
      </c>
      <c r="K25" s="82">
        <v>0</v>
      </c>
      <c r="L25" s="82">
        <v>0</v>
      </c>
      <c r="M25" s="82">
        <v>0</v>
      </c>
      <c r="N25" s="82">
        <v>0</v>
      </c>
      <c r="O25" s="82">
        <v>0</v>
      </c>
      <c r="P25" s="82">
        <v>0</v>
      </c>
      <c r="Q25" s="82">
        <v>0</v>
      </c>
    </row>
    <row r="26" spans="2:17">
      <c r="E26" s="79" t="s">
        <v>386</v>
      </c>
      <c r="F26" s="82" t="s">
        <v>411</v>
      </c>
      <c r="G26" s="82" t="s">
        <v>411</v>
      </c>
      <c r="H26" s="82" t="s">
        <v>411</v>
      </c>
      <c r="I26" s="82" t="s">
        <v>411</v>
      </c>
      <c r="J26" s="82" t="s">
        <v>411</v>
      </c>
      <c r="K26" s="82" t="s">
        <v>411</v>
      </c>
      <c r="L26" s="82" t="s">
        <v>411</v>
      </c>
      <c r="M26" s="82" t="s">
        <v>411</v>
      </c>
      <c r="N26" s="82" t="s">
        <v>411</v>
      </c>
      <c r="O26" s="82" t="s">
        <v>411</v>
      </c>
      <c r="P26" s="82" t="s">
        <v>411</v>
      </c>
      <c r="Q26" s="82" t="s">
        <v>411</v>
      </c>
    </row>
    <row r="27" spans="2:17">
      <c r="E27" s="79" t="s">
        <v>389</v>
      </c>
      <c r="F27" s="82" t="s">
        <v>416</v>
      </c>
      <c r="G27" s="82" t="s">
        <v>416</v>
      </c>
      <c r="H27" s="82" t="s">
        <v>416</v>
      </c>
      <c r="I27" s="82" t="s">
        <v>416</v>
      </c>
      <c r="J27" s="82" t="s">
        <v>416</v>
      </c>
      <c r="K27" s="82" t="s">
        <v>416</v>
      </c>
      <c r="L27" s="82" t="s">
        <v>416</v>
      </c>
      <c r="M27" s="82" t="s">
        <v>416</v>
      </c>
      <c r="N27" s="82" t="s">
        <v>416</v>
      </c>
      <c r="O27" s="82" t="s">
        <v>416</v>
      </c>
      <c r="P27" s="82" t="s">
        <v>416</v>
      </c>
      <c r="Q27" s="82" t="s">
        <v>416</v>
      </c>
    </row>
    <row r="28" spans="2:17" ht="409.5" customHeight="1">
      <c r="E28" s="79" t="s">
        <v>413</v>
      </c>
      <c r="F28" s="178" t="s">
        <v>417</v>
      </c>
      <c r="G28" s="178"/>
      <c r="H28" s="178"/>
      <c r="I28" s="178"/>
      <c r="J28" s="178"/>
      <c r="K28" s="178"/>
      <c r="L28" s="178"/>
      <c r="M28" s="178"/>
      <c r="N28" s="178"/>
      <c r="O28" s="178"/>
      <c r="P28" s="178"/>
      <c r="Q28" s="177"/>
    </row>
    <row r="30" spans="2:17">
      <c r="B30" s="78" t="s">
        <v>393</v>
      </c>
      <c r="C30" s="78" t="s">
        <v>394</v>
      </c>
      <c r="E30" s="79"/>
      <c r="F30" s="79" t="s">
        <v>395</v>
      </c>
      <c r="G30" s="79" t="s">
        <v>396</v>
      </c>
      <c r="H30" s="79" t="s">
        <v>397</v>
      </c>
      <c r="I30" s="79" t="s">
        <v>398</v>
      </c>
      <c r="J30" s="79" t="s">
        <v>399</v>
      </c>
      <c r="K30" s="79" t="s">
        <v>400</v>
      </c>
      <c r="L30" s="79" t="s">
        <v>401</v>
      </c>
      <c r="M30" s="79" t="s">
        <v>402</v>
      </c>
      <c r="N30" s="79" t="s">
        <v>403</v>
      </c>
      <c r="O30" s="79" t="s">
        <v>404</v>
      </c>
      <c r="P30" s="79" t="s">
        <v>405</v>
      </c>
      <c r="Q30" s="79" t="s">
        <v>406</v>
      </c>
    </row>
    <row r="31" spans="2:17">
      <c r="B31" s="80" t="s">
        <v>418</v>
      </c>
      <c r="C31" s="80" t="s">
        <v>419</v>
      </c>
      <c r="E31" s="79" t="s">
        <v>408</v>
      </c>
      <c r="F31" s="81" t="s">
        <v>244</v>
      </c>
      <c r="G31" s="81" t="s">
        <v>244</v>
      </c>
      <c r="H31" s="172" t="s">
        <v>88</v>
      </c>
      <c r="I31" s="172"/>
      <c r="J31" s="172"/>
      <c r="K31" s="172"/>
      <c r="L31" s="172"/>
      <c r="M31" s="172"/>
      <c r="N31" s="172"/>
      <c r="O31" s="172"/>
      <c r="P31" s="172"/>
      <c r="Q31" s="172"/>
    </row>
    <row r="32" spans="2:17">
      <c r="E32" s="79" t="s">
        <v>409</v>
      </c>
      <c r="F32" s="82"/>
      <c r="G32" s="82"/>
      <c r="H32" s="172" t="s">
        <v>420</v>
      </c>
      <c r="I32" s="172"/>
      <c r="J32" s="172"/>
      <c r="K32" s="172"/>
      <c r="L32" s="172"/>
      <c r="M32" s="172"/>
      <c r="N32" s="172"/>
      <c r="O32" s="172"/>
      <c r="P32" s="172"/>
      <c r="Q32" s="172"/>
    </row>
    <row r="33" spans="2:17">
      <c r="E33" s="79" t="s">
        <v>386</v>
      </c>
      <c r="F33" s="82"/>
      <c r="G33" s="82"/>
      <c r="H33" s="172" t="s">
        <v>411</v>
      </c>
      <c r="I33" s="172"/>
      <c r="J33" s="172"/>
      <c r="K33" s="172"/>
      <c r="L33" s="172"/>
      <c r="M33" s="172"/>
      <c r="N33" s="172"/>
      <c r="O33" s="172"/>
      <c r="P33" s="172"/>
      <c r="Q33" s="172"/>
    </row>
    <row r="34" spans="2:17">
      <c r="E34" s="79" t="s">
        <v>389</v>
      </c>
      <c r="F34" s="82"/>
      <c r="G34" s="82"/>
      <c r="H34" s="172" t="s">
        <v>412</v>
      </c>
      <c r="I34" s="172"/>
      <c r="J34" s="172"/>
      <c r="K34" s="172"/>
      <c r="L34" s="172"/>
      <c r="M34" s="172"/>
      <c r="N34" s="172"/>
      <c r="O34" s="172"/>
      <c r="P34" s="172"/>
      <c r="Q34" s="172"/>
    </row>
    <row r="35" spans="2:17">
      <c r="E35" s="79" t="s">
        <v>413</v>
      </c>
      <c r="F35" s="180" t="s">
        <v>421</v>
      </c>
      <c r="G35" s="180"/>
      <c r="H35" s="180"/>
      <c r="I35" s="180"/>
      <c r="J35" s="180"/>
      <c r="K35" s="180"/>
      <c r="L35" s="180"/>
      <c r="M35" s="180"/>
      <c r="N35" s="180"/>
      <c r="O35" s="180"/>
      <c r="P35" s="180"/>
      <c r="Q35" s="180"/>
    </row>
    <row r="37" spans="2:17">
      <c r="B37" s="78" t="s">
        <v>393</v>
      </c>
      <c r="C37" s="78" t="s">
        <v>394</v>
      </c>
      <c r="E37" s="79"/>
      <c r="F37" s="79" t="s">
        <v>395</v>
      </c>
      <c r="G37" s="79" t="s">
        <v>396</v>
      </c>
      <c r="H37" s="79" t="s">
        <v>397</v>
      </c>
      <c r="I37" s="79" t="s">
        <v>398</v>
      </c>
      <c r="J37" s="79" t="s">
        <v>399</v>
      </c>
      <c r="K37" s="79" t="s">
        <v>400</v>
      </c>
      <c r="L37" s="79" t="s">
        <v>401</v>
      </c>
      <c r="M37" s="79" t="s">
        <v>402</v>
      </c>
      <c r="N37" s="79" t="s">
        <v>403</v>
      </c>
      <c r="O37" s="79" t="s">
        <v>404</v>
      </c>
      <c r="P37" s="79" t="s">
        <v>405</v>
      </c>
      <c r="Q37" s="79" t="s">
        <v>406</v>
      </c>
    </row>
    <row r="38" spans="2:17">
      <c r="B38" s="80" t="s">
        <v>422</v>
      </c>
      <c r="C38" s="80" t="s">
        <v>423</v>
      </c>
      <c r="E38" s="79" t="s">
        <v>408</v>
      </c>
      <c r="F38" s="81" t="s">
        <v>244</v>
      </c>
      <c r="G38" s="81" t="s">
        <v>244</v>
      </c>
      <c r="H38" s="172" t="s">
        <v>91</v>
      </c>
      <c r="I38" s="172"/>
      <c r="J38" s="172"/>
      <c r="K38" s="172"/>
      <c r="L38" s="172"/>
      <c r="M38" s="172"/>
      <c r="N38" s="172"/>
      <c r="O38" s="172"/>
      <c r="P38" s="172"/>
      <c r="Q38" s="172"/>
    </row>
    <row r="39" spans="2:17">
      <c r="E39" s="79" t="s">
        <v>409</v>
      </c>
      <c r="F39" s="82"/>
      <c r="G39" s="82"/>
      <c r="H39" s="172" t="s">
        <v>420</v>
      </c>
      <c r="I39" s="172"/>
      <c r="J39" s="172"/>
      <c r="K39" s="172"/>
      <c r="L39" s="172"/>
      <c r="M39" s="172"/>
      <c r="N39" s="172"/>
      <c r="O39" s="172"/>
      <c r="P39" s="172"/>
      <c r="Q39" s="172"/>
    </row>
    <row r="40" spans="2:17">
      <c r="E40" s="79" t="s">
        <v>386</v>
      </c>
      <c r="F40" s="82"/>
      <c r="G40" s="82"/>
      <c r="H40" s="172" t="s">
        <v>411</v>
      </c>
      <c r="I40" s="172"/>
      <c r="J40" s="172"/>
      <c r="K40" s="172"/>
      <c r="L40" s="172"/>
      <c r="M40" s="172"/>
      <c r="N40" s="172"/>
      <c r="O40" s="172"/>
      <c r="P40" s="172"/>
      <c r="Q40" s="172"/>
    </row>
    <row r="41" spans="2:17">
      <c r="E41" s="79" t="s">
        <v>389</v>
      </c>
      <c r="F41" s="82"/>
      <c r="G41" s="82"/>
      <c r="H41" s="172" t="s">
        <v>412</v>
      </c>
      <c r="I41" s="172"/>
      <c r="J41" s="172"/>
      <c r="K41" s="172"/>
      <c r="L41" s="172"/>
      <c r="M41" s="172"/>
      <c r="N41" s="172"/>
      <c r="O41" s="172"/>
      <c r="P41" s="172"/>
      <c r="Q41" s="172"/>
    </row>
    <row r="42" spans="2:17">
      <c r="E42" s="79" t="s">
        <v>413</v>
      </c>
      <c r="F42" s="180" t="s">
        <v>424</v>
      </c>
      <c r="G42" s="180"/>
      <c r="H42" s="180"/>
      <c r="I42" s="180"/>
      <c r="J42" s="180"/>
      <c r="K42" s="180"/>
      <c r="L42" s="180"/>
      <c r="M42" s="180"/>
      <c r="N42" s="180"/>
      <c r="O42" s="180"/>
      <c r="P42" s="180"/>
      <c r="Q42" s="180"/>
    </row>
    <row r="44" spans="2:17">
      <c r="B44" s="78" t="s">
        <v>393</v>
      </c>
      <c r="C44" s="78" t="s">
        <v>394</v>
      </c>
      <c r="E44" s="79"/>
      <c r="F44" s="79" t="s">
        <v>395</v>
      </c>
      <c r="G44" s="79" t="s">
        <v>396</v>
      </c>
      <c r="H44" s="79" t="s">
        <v>397</v>
      </c>
      <c r="I44" s="79" t="s">
        <v>398</v>
      </c>
      <c r="J44" s="79" t="s">
        <v>399</v>
      </c>
      <c r="K44" s="79" t="s">
        <v>400</v>
      </c>
      <c r="L44" s="79" t="s">
        <v>401</v>
      </c>
      <c r="M44" s="79" t="s">
        <v>402</v>
      </c>
      <c r="N44" s="79" t="s">
        <v>403</v>
      </c>
      <c r="O44" s="79" t="s">
        <v>404</v>
      </c>
      <c r="P44" s="79" t="s">
        <v>405</v>
      </c>
      <c r="Q44" s="79" t="s">
        <v>406</v>
      </c>
    </row>
    <row r="45" spans="2:17" ht="16.5" customHeight="1">
      <c r="B45" s="80" t="s">
        <v>425</v>
      </c>
      <c r="C45" s="80" t="s">
        <v>426</v>
      </c>
      <c r="E45" s="79" t="s">
        <v>408</v>
      </c>
      <c r="F45" s="82" t="s">
        <v>95</v>
      </c>
      <c r="G45" s="82" t="s">
        <v>96</v>
      </c>
      <c r="H45" s="82" t="s">
        <v>97</v>
      </c>
      <c r="I45" s="82" t="s">
        <v>98</v>
      </c>
      <c r="J45" s="82" t="s">
        <v>99</v>
      </c>
      <c r="K45" s="82" t="s">
        <v>100</v>
      </c>
      <c r="L45" s="82" t="s">
        <v>101</v>
      </c>
      <c r="M45" s="82" t="s">
        <v>102</v>
      </c>
      <c r="N45" s="172" t="s">
        <v>427</v>
      </c>
      <c r="O45" s="172"/>
      <c r="P45" s="172"/>
      <c r="Q45" s="172"/>
    </row>
    <row r="46" spans="2:17">
      <c r="E46" s="79" t="s">
        <v>409</v>
      </c>
      <c r="F46" s="82">
        <v>0</v>
      </c>
      <c r="G46" s="82">
        <v>0</v>
      </c>
      <c r="H46" s="82">
        <v>0</v>
      </c>
      <c r="I46" s="82">
        <v>0</v>
      </c>
      <c r="J46" s="82">
        <v>0</v>
      </c>
      <c r="K46" s="82">
        <v>0</v>
      </c>
      <c r="L46" s="82">
        <v>0</v>
      </c>
      <c r="M46" s="82">
        <v>0</v>
      </c>
      <c r="N46" s="172" t="s">
        <v>410</v>
      </c>
      <c r="O46" s="172"/>
      <c r="P46" s="172"/>
      <c r="Q46" s="172"/>
    </row>
    <row r="47" spans="2:17">
      <c r="E47" s="79" t="s">
        <v>386</v>
      </c>
      <c r="F47" s="82" t="s">
        <v>411</v>
      </c>
      <c r="G47" s="82" t="s">
        <v>411</v>
      </c>
      <c r="H47" s="82" t="s">
        <v>411</v>
      </c>
      <c r="I47" s="82" t="s">
        <v>411</v>
      </c>
      <c r="J47" s="82" t="s">
        <v>411</v>
      </c>
      <c r="K47" s="82" t="s">
        <v>411</v>
      </c>
      <c r="L47" s="82" t="s">
        <v>411</v>
      </c>
      <c r="M47" s="82" t="s">
        <v>411</v>
      </c>
      <c r="N47" s="172" t="s">
        <v>411</v>
      </c>
      <c r="O47" s="172"/>
      <c r="P47" s="172"/>
      <c r="Q47" s="172"/>
    </row>
    <row r="48" spans="2:17">
      <c r="E48" s="79" t="s">
        <v>389</v>
      </c>
      <c r="F48" s="82" t="s">
        <v>428</v>
      </c>
      <c r="G48" s="82" t="s">
        <v>203</v>
      </c>
      <c r="H48" s="82" t="s">
        <v>203</v>
      </c>
      <c r="I48" s="82" t="s">
        <v>203</v>
      </c>
      <c r="J48" s="82" t="s">
        <v>203</v>
      </c>
      <c r="K48" s="82" t="s">
        <v>203</v>
      </c>
      <c r="L48" s="82" t="s">
        <v>203</v>
      </c>
      <c r="M48" s="82" t="s">
        <v>203</v>
      </c>
      <c r="N48" s="172" t="s">
        <v>203</v>
      </c>
      <c r="O48" s="172"/>
      <c r="P48" s="172"/>
      <c r="Q48" s="172"/>
    </row>
    <row r="49" spans="2:17" ht="409.5" customHeight="1">
      <c r="E49" s="79" t="s">
        <v>413</v>
      </c>
      <c r="F49" s="178" t="s">
        <v>429</v>
      </c>
      <c r="G49" s="178"/>
      <c r="H49" s="178"/>
      <c r="I49" s="178"/>
      <c r="J49" s="178"/>
      <c r="K49" s="178"/>
      <c r="L49" s="178"/>
      <c r="M49" s="178"/>
      <c r="N49" s="178"/>
      <c r="O49" s="178"/>
      <c r="P49" s="178"/>
      <c r="Q49" s="177"/>
    </row>
    <row r="51" spans="2:17" ht="16.5" customHeight="1">
      <c r="B51" s="78" t="s">
        <v>393</v>
      </c>
      <c r="C51" s="78" t="s">
        <v>394</v>
      </c>
      <c r="E51" s="79"/>
      <c r="F51" s="79" t="s">
        <v>395</v>
      </c>
      <c r="G51" s="79" t="s">
        <v>396</v>
      </c>
      <c r="H51" s="79" t="s">
        <v>397</v>
      </c>
      <c r="I51" s="79" t="s">
        <v>398</v>
      </c>
      <c r="J51" s="79" t="s">
        <v>399</v>
      </c>
      <c r="K51" s="79" t="s">
        <v>400</v>
      </c>
      <c r="L51" s="79" t="s">
        <v>401</v>
      </c>
      <c r="M51" s="79" t="s">
        <v>402</v>
      </c>
      <c r="N51" s="79" t="s">
        <v>403</v>
      </c>
      <c r="O51" s="79" t="s">
        <v>404</v>
      </c>
      <c r="P51" s="79" t="s">
        <v>405</v>
      </c>
      <c r="Q51" s="79" t="s">
        <v>406</v>
      </c>
    </row>
    <row r="52" spans="2:17" ht="16.5" customHeight="1">
      <c r="B52" s="80" t="s">
        <v>430</v>
      </c>
      <c r="C52" s="80" t="s">
        <v>431</v>
      </c>
      <c r="E52" s="79" t="s">
        <v>408</v>
      </c>
      <c r="F52" s="81" t="s">
        <v>244</v>
      </c>
      <c r="G52" s="81" t="s">
        <v>244</v>
      </c>
      <c r="H52" s="81" t="s">
        <v>244</v>
      </c>
      <c r="I52" s="81" t="s">
        <v>244</v>
      </c>
      <c r="J52" s="81" t="s">
        <v>244</v>
      </c>
      <c r="K52" s="82" t="s">
        <v>106</v>
      </c>
      <c r="L52" s="82" t="s">
        <v>107</v>
      </c>
      <c r="M52" s="82" t="s">
        <v>108</v>
      </c>
      <c r="N52" s="171" t="s">
        <v>109</v>
      </c>
      <c r="O52" s="179"/>
      <c r="P52" s="171" t="s">
        <v>110</v>
      </c>
      <c r="Q52" s="179"/>
    </row>
    <row r="53" spans="2:17" ht="16.5" customHeight="1">
      <c r="E53" s="79" t="s">
        <v>409</v>
      </c>
      <c r="F53" s="82"/>
      <c r="G53" s="82"/>
      <c r="H53" s="82"/>
      <c r="I53" s="82"/>
      <c r="J53" s="82"/>
      <c r="K53" s="82">
        <v>0</v>
      </c>
      <c r="L53" s="82">
        <v>0</v>
      </c>
      <c r="M53" s="82">
        <v>0</v>
      </c>
      <c r="N53" s="171" t="s">
        <v>432</v>
      </c>
      <c r="O53" s="179"/>
      <c r="P53" s="171" t="s">
        <v>433</v>
      </c>
      <c r="Q53" s="179"/>
    </row>
    <row r="54" spans="2:17" ht="16.5" customHeight="1">
      <c r="E54" s="79" t="s">
        <v>386</v>
      </c>
      <c r="F54" s="82"/>
      <c r="G54" s="82"/>
      <c r="H54" s="82"/>
      <c r="I54" s="82"/>
      <c r="J54" s="82"/>
      <c r="K54" s="82" t="s">
        <v>411</v>
      </c>
      <c r="L54" s="82" t="s">
        <v>411</v>
      </c>
      <c r="M54" s="82" t="s">
        <v>411</v>
      </c>
      <c r="N54" s="171" t="s">
        <v>411</v>
      </c>
      <c r="O54" s="179"/>
      <c r="P54" s="171" t="s">
        <v>411</v>
      </c>
      <c r="Q54" s="179"/>
    </row>
    <row r="55" spans="2:17" ht="16.5" customHeight="1">
      <c r="E55" s="79" t="s">
        <v>389</v>
      </c>
      <c r="F55" s="82"/>
      <c r="G55" s="82"/>
      <c r="H55" s="82"/>
      <c r="I55" s="82"/>
      <c r="J55" s="82"/>
      <c r="K55" s="82" t="s">
        <v>203</v>
      </c>
      <c r="L55" s="82" t="s">
        <v>203</v>
      </c>
      <c r="M55" s="82" t="s">
        <v>203</v>
      </c>
      <c r="N55" s="171" t="s">
        <v>203</v>
      </c>
      <c r="O55" s="179"/>
      <c r="P55" s="171" t="s">
        <v>203</v>
      </c>
      <c r="Q55" s="179"/>
    </row>
    <row r="56" spans="2:17" ht="378.75" customHeight="1">
      <c r="E56" s="79" t="s">
        <v>413</v>
      </c>
      <c r="F56" s="177" t="s">
        <v>434</v>
      </c>
      <c r="G56" s="177"/>
      <c r="H56" s="177"/>
      <c r="I56" s="177"/>
      <c r="J56" s="177"/>
      <c r="K56" s="177"/>
      <c r="L56" s="177"/>
      <c r="M56" s="177"/>
      <c r="N56" s="177"/>
      <c r="O56" s="177"/>
      <c r="P56" s="177"/>
      <c r="Q56" s="177"/>
    </row>
    <row r="58" spans="2:17">
      <c r="B58" s="78" t="s">
        <v>393</v>
      </c>
      <c r="C58" s="78" t="s">
        <v>394</v>
      </c>
      <c r="E58" s="79"/>
      <c r="F58" s="79" t="s">
        <v>435</v>
      </c>
      <c r="G58" s="79" t="s">
        <v>436</v>
      </c>
      <c r="H58" s="79" t="s">
        <v>437</v>
      </c>
      <c r="I58" s="79" t="s">
        <v>438</v>
      </c>
      <c r="J58" s="79" t="s">
        <v>439</v>
      </c>
      <c r="K58" s="79" t="s">
        <v>440</v>
      </c>
      <c r="L58" s="79" t="s">
        <v>441</v>
      </c>
      <c r="M58" s="79" t="s">
        <v>442</v>
      </c>
      <c r="N58" s="79" t="s">
        <v>443</v>
      </c>
      <c r="O58" s="79" t="s">
        <v>444</v>
      </c>
      <c r="P58" s="79" t="s">
        <v>445</v>
      </c>
      <c r="Q58" s="79" t="s">
        <v>446</v>
      </c>
    </row>
    <row r="59" spans="2:17">
      <c r="B59" s="80" t="s">
        <v>447</v>
      </c>
      <c r="C59" s="80" t="s">
        <v>188</v>
      </c>
      <c r="E59" s="79" t="s">
        <v>408</v>
      </c>
      <c r="F59" s="81" t="s">
        <v>244</v>
      </c>
      <c r="G59" s="81" t="s">
        <v>244</v>
      </c>
      <c r="H59" s="81" t="s">
        <v>244</v>
      </c>
      <c r="I59" s="81" t="s">
        <v>244</v>
      </c>
      <c r="J59" s="81" t="s">
        <v>244</v>
      </c>
      <c r="K59" s="81" t="s">
        <v>244</v>
      </c>
      <c r="L59" s="81" t="s">
        <v>244</v>
      </c>
      <c r="M59" s="81" t="s">
        <v>244</v>
      </c>
      <c r="N59" s="172" t="s">
        <v>190</v>
      </c>
      <c r="O59" s="172"/>
      <c r="P59" s="172"/>
      <c r="Q59" s="172"/>
    </row>
    <row r="60" spans="2:17">
      <c r="B60" s="80" t="s">
        <v>447</v>
      </c>
      <c r="C60" s="80" t="s">
        <v>191</v>
      </c>
      <c r="E60" s="79" t="s">
        <v>409</v>
      </c>
      <c r="F60" s="80"/>
      <c r="G60" s="80"/>
      <c r="H60" s="80"/>
      <c r="I60" s="80"/>
      <c r="J60" s="80"/>
      <c r="K60" s="80"/>
      <c r="L60" s="80"/>
      <c r="M60" s="80"/>
      <c r="N60" s="172" t="s">
        <v>410</v>
      </c>
      <c r="O60" s="172"/>
      <c r="P60" s="172"/>
      <c r="Q60" s="172"/>
    </row>
    <row r="61" spans="2:17">
      <c r="E61" s="79" t="s">
        <v>386</v>
      </c>
      <c r="F61" s="80"/>
      <c r="G61" s="80"/>
      <c r="H61" s="80"/>
      <c r="I61" s="80"/>
      <c r="J61" s="80"/>
      <c r="K61" s="80"/>
      <c r="L61" s="80"/>
      <c r="M61" s="80"/>
      <c r="N61" s="172" t="s">
        <v>411</v>
      </c>
      <c r="O61" s="172"/>
      <c r="P61" s="172"/>
      <c r="Q61" s="172"/>
    </row>
    <row r="62" spans="2:17">
      <c r="E62" s="79" t="s">
        <v>389</v>
      </c>
      <c r="F62" s="80"/>
      <c r="G62" s="80"/>
      <c r="H62" s="80"/>
      <c r="I62" s="80"/>
      <c r="J62" s="80"/>
      <c r="K62" s="80"/>
      <c r="L62" s="80"/>
      <c r="M62" s="80"/>
      <c r="N62" s="172" t="s">
        <v>203</v>
      </c>
      <c r="O62" s="172"/>
      <c r="P62" s="172"/>
      <c r="Q62" s="172"/>
    </row>
    <row r="63" spans="2:17">
      <c r="E63" s="79"/>
      <c r="F63" s="79" t="s">
        <v>395</v>
      </c>
      <c r="G63" s="79" t="s">
        <v>396</v>
      </c>
      <c r="H63" s="79" t="s">
        <v>397</v>
      </c>
      <c r="I63" s="79" t="s">
        <v>398</v>
      </c>
      <c r="J63" s="79" t="s">
        <v>399</v>
      </c>
      <c r="K63" s="79" t="s">
        <v>400</v>
      </c>
      <c r="L63" s="79" t="s">
        <v>401</v>
      </c>
      <c r="M63" s="79" t="s">
        <v>402</v>
      </c>
      <c r="N63" s="79" t="s">
        <v>403</v>
      </c>
      <c r="O63" s="79" t="s">
        <v>404</v>
      </c>
      <c r="P63" s="79" t="s">
        <v>405</v>
      </c>
      <c r="Q63" s="79" t="s">
        <v>406</v>
      </c>
    </row>
    <row r="64" spans="2:17">
      <c r="E64" s="79" t="s">
        <v>408</v>
      </c>
      <c r="F64" s="172" t="s">
        <v>192</v>
      </c>
      <c r="G64" s="172"/>
      <c r="H64" s="172"/>
      <c r="I64" s="172"/>
      <c r="J64" s="172"/>
      <c r="K64" s="172"/>
      <c r="L64" s="172"/>
      <c r="M64" s="172"/>
      <c r="N64" s="172"/>
      <c r="O64" s="172"/>
      <c r="P64" s="172"/>
      <c r="Q64" s="172"/>
    </row>
    <row r="65" spans="2:17">
      <c r="E65" s="79" t="s">
        <v>409</v>
      </c>
      <c r="F65" s="172" t="s">
        <v>420</v>
      </c>
      <c r="G65" s="172"/>
      <c r="H65" s="172"/>
      <c r="I65" s="172"/>
      <c r="J65" s="172"/>
      <c r="K65" s="172"/>
      <c r="L65" s="172"/>
      <c r="M65" s="172"/>
      <c r="N65" s="172"/>
      <c r="O65" s="172"/>
      <c r="P65" s="172"/>
      <c r="Q65" s="172"/>
    </row>
    <row r="66" spans="2:17">
      <c r="E66" s="79" t="s">
        <v>386</v>
      </c>
      <c r="F66" s="172" t="s">
        <v>411</v>
      </c>
      <c r="G66" s="172"/>
      <c r="H66" s="172"/>
      <c r="I66" s="172"/>
      <c r="J66" s="172"/>
      <c r="K66" s="172"/>
      <c r="L66" s="172"/>
      <c r="M66" s="172"/>
      <c r="N66" s="172"/>
      <c r="O66" s="172"/>
      <c r="P66" s="172"/>
      <c r="Q66" s="172"/>
    </row>
    <row r="67" spans="2:17">
      <c r="E67" s="79" t="s">
        <v>389</v>
      </c>
      <c r="F67" s="172" t="s">
        <v>203</v>
      </c>
      <c r="G67" s="172"/>
      <c r="H67" s="172"/>
      <c r="I67" s="172"/>
      <c r="J67" s="172"/>
      <c r="K67" s="172"/>
      <c r="L67" s="172"/>
      <c r="M67" s="172"/>
      <c r="N67" s="172"/>
      <c r="O67" s="172"/>
      <c r="P67" s="172"/>
      <c r="Q67" s="172"/>
    </row>
    <row r="68" spans="2:17" ht="360" customHeight="1">
      <c r="E68" s="83" t="s">
        <v>413</v>
      </c>
      <c r="F68" s="181" t="s">
        <v>653</v>
      </c>
      <c r="G68" s="182"/>
      <c r="H68" s="182"/>
      <c r="I68" s="182"/>
      <c r="J68" s="182"/>
      <c r="K68" s="182"/>
      <c r="L68" s="182"/>
      <c r="M68" s="182"/>
      <c r="N68" s="182"/>
      <c r="O68" s="182"/>
      <c r="P68" s="182"/>
      <c r="Q68" s="183"/>
    </row>
    <row r="70" spans="2:17">
      <c r="B70" s="78" t="s">
        <v>393</v>
      </c>
      <c r="C70" s="78" t="s">
        <v>394</v>
      </c>
      <c r="E70" s="79"/>
      <c r="F70" s="79" t="s">
        <v>435</v>
      </c>
      <c r="G70" s="79" t="s">
        <v>436</v>
      </c>
      <c r="H70" s="79" t="s">
        <v>437</v>
      </c>
      <c r="I70" s="79" t="s">
        <v>438</v>
      </c>
      <c r="J70" s="79" t="s">
        <v>439</v>
      </c>
      <c r="K70" s="79" t="s">
        <v>440</v>
      </c>
      <c r="L70" s="79" t="s">
        <v>441</v>
      </c>
      <c r="M70" s="79" t="s">
        <v>442</v>
      </c>
      <c r="N70" s="79" t="s">
        <v>443</v>
      </c>
      <c r="O70" s="79" t="s">
        <v>444</v>
      </c>
      <c r="P70" s="79" t="s">
        <v>445</v>
      </c>
      <c r="Q70" s="79" t="s">
        <v>446</v>
      </c>
    </row>
    <row r="71" spans="2:17">
      <c r="B71" s="80" t="s">
        <v>448</v>
      </c>
      <c r="C71" s="80" t="s">
        <v>193</v>
      </c>
      <c r="E71" s="79" t="s">
        <v>408</v>
      </c>
      <c r="F71" s="172" t="s">
        <v>195</v>
      </c>
      <c r="G71" s="172"/>
      <c r="H71" s="172"/>
      <c r="I71" s="172"/>
      <c r="J71" s="172"/>
      <c r="K71" s="172"/>
      <c r="L71" s="172"/>
      <c r="M71" s="172"/>
      <c r="N71" s="172" t="s">
        <v>196</v>
      </c>
      <c r="O71" s="172"/>
      <c r="P71" s="172"/>
      <c r="Q71" s="172"/>
    </row>
    <row r="72" spans="2:17">
      <c r="B72" s="80" t="s">
        <v>448</v>
      </c>
      <c r="C72" s="80" t="s">
        <v>197</v>
      </c>
      <c r="E72" s="79" t="s">
        <v>409</v>
      </c>
      <c r="F72" s="172" t="s">
        <v>449</v>
      </c>
      <c r="G72" s="172"/>
      <c r="H72" s="172"/>
      <c r="I72" s="172"/>
      <c r="J72" s="172"/>
      <c r="K72" s="172"/>
      <c r="L72" s="172"/>
      <c r="M72" s="172"/>
      <c r="N72" s="172" t="s">
        <v>410</v>
      </c>
      <c r="O72" s="172"/>
      <c r="P72" s="172"/>
      <c r="Q72" s="172"/>
    </row>
    <row r="73" spans="2:17">
      <c r="E73" s="79" t="s">
        <v>386</v>
      </c>
      <c r="F73" s="172" t="s">
        <v>411</v>
      </c>
      <c r="G73" s="172"/>
      <c r="H73" s="172"/>
      <c r="I73" s="172"/>
      <c r="J73" s="172"/>
      <c r="K73" s="172"/>
      <c r="L73" s="172"/>
      <c r="M73" s="172"/>
      <c r="N73" s="172" t="s">
        <v>411</v>
      </c>
      <c r="O73" s="172"/>
      <c r="P73" s="172"/>
      <c r="Q73" s="172"/>
    </row>
    <row r="74" spans="2:17">
      <c r="E74" s="79" t="s">
        <v>389</v>
      </c>
      <c r="F74" s="172" t="s">
        <v>203</v>
      </c>
      <c r="G74" s="172"/>
      <c r="H74" s="172"/>
      <c r="I74" s="172"/>
      <c r="J74" s="172"/>
      <c r="K74" s="172"/>
      <c r="L74" s="172"/>
      <c r="M74" s="172"/>
      <c r="N74" s="172" t="s">
        <v>203</v>
      </c>
      <c r="O74" s="172"/>
      <c r="P74" s="172"/>
      <c r="Q74" s="172"/>
    </row>
    <row r="75" spans="2:17">
      <c r="E75" s="79"/>
      <c r="F75" s="79" t="s">
        <v>395</v>
      </c>
      <c r="G75" s="79" t="s">
        <v>396</v>
      </c>
      <c r="H75" s="79" t="s">
        <v>397</v>
      </c>
      <c r="I75" s="79" t="s">
        <v>398</v>
      </c>
      <c r="J75" s="79" t="s">
        <v>399</v>
      </c>
      <c r="K75" s="79" t="s">
        <v>400</v>
      </c>
      <c r="L75" s="79" t="s">
        <v>401</v>
      </c>
      <c r="M75" s="79" t="s">
        <v>402</v>
      </c>
      <c r="N75" s="79" t="s">
        <v>403</v>
      </c>
      <c r="O75" s="79" t="s">
        <v>404</v>
      </c>
      <c r="P75" s="79" t="s">
        <v>405</v>
      </c>
      <c r="Q75" s="79" t="s">
        <v>406</v>
      </c>
    </row>
    <row r="76" spans="2:17">
      <c r="E76" s="79" t="s">
        <v>408</v>
      </c>
      <c r="F76" s="172" t="s">
        <v>196</v>
      </c>
      <c r="G76" s="172"/>
      <c r="H76" s="172"/>
      <c r="I76" s="172"/>
      <c r="J76" s="172" t="s">
        <v>198</v>
      </c>
      <c r="K76" s="172"/>
      <c r="L76" s="172"/>
      <c r="M76" s="172"/>
      <c r="N76" s="172"/>
      <c r="O76" s="172"/>
      <c r="P76" s="172"/>
      <c r="Q76" s="172"/>
    </row>
    <row r="77" spans="2:17">
      <c r="E77" s="79" t="s">
        <v>409</v>
      </c>
      <c r="F77" s="172" t="s">
        <v>410</v>
      </c>
      <c r="G77" s="172"/>
      <c r="H77" s="172"/>
      <c r="I77" s="172"/>
      <c r="J77" s="172" t="s">
        <v>420</v>
      </c>
      <c r="K77" s="172"/>
      <c r="L77" s="172"/>
      <c r="M77" s="172"/>
      <c r="N77" s="172"/>
      <c r="O77" s="172"/>
      <c r="P77" s="172"/>
      <c r="Q77" s="172"/>
    </row>
    <row r="78" spans="2:17">
      <c r="E78" s="79" t="s">
        <v>386</v>
      </c>
      <c r="F78" s="172" t="s">
        <v>411</v>
      </c>
      <c r="G78" s="172"/>
      <c r="H78" s="172"/>
      <c r="I78" s="172"/>
      <c r="J78" s="172" t="s">
        <v>411</v>
      </c>
      <c r="K78" s="172"/>
      <c r="L78" s="172"/>
      <c r="M78" s="172"/>
      <c r="N78" s="172"/>
      <c r="O78" s="172"/>
      <c r="P78" s="172"/>
      <c r="Q78" s="172"/>
    </row>
    <row r="79" spans="2:17">
      <c r="E79" s="79" t="s">
        <v>389</v>
      </c>
      <c r="F79" s="172" t="s">
        <v>203</v>
      </c>
      <c r="G79" s="172"/>
      <c r="H79" s="172"/>
      <c r="I79" s="172"/>
      <c r="J79" s="172" t="s">
        <v>203</v>
      </c>
      <c r="K79" s="172"/>
      <c r="L79" s="172"/>
      <c r="M79" s="172"/>
      <c r="N79" s="172"/>
      <c r="O79" s="172"/>
      <c r="P79" s="172"/>
      <c r="Q79" s="172"/>
    </row>
    <row r="80" spans="2:17" ht="29.25" customHeight="1">
      <c r="E80" s="79" t="s">
        <v>413</v>
      </c>
      <c r="F80" s="184" t="s">
        <v>450</v>
      </c>
      <c r="G80" s="184"/>
      <c r="H80" s="184"/>
      <c r="I80" s="184"/>
      <c r="J80" s="184"/>
      <c r="K80" s="184"/>
      <c r="L80" s="184"/>
      <c r="M80" s="184"/>
      <c r="N80" s="184"/>
      <c r="O80" s="184"/>
      <c r="P80" s="184"/>
      <c r="Q80" s="184"/>
    </row>
    <row r="82" spans="2:17">
      <c r="B82" s="78" t="s">
        <v>393</v>
      </c>
      <c r="C82" s="78" t="s">
        <v>394</v>
      </c>
      <c r="E82" s="79"/>
      <c r="F82" s="79" t="s">
        <v>395</v>
      </c>
      <c r="G82" s="79" t="s">
        <v>396</v>
      </c>
      <c r="H82" s="79" t="s">
        <v>397</v>
      </c>
      <c r="I82" s="79" t="s">
        <v>398</v>
      </c>
      <c r="J82" s="79" t="s">
        <v>399</v>
      </c>
      <c r="K82" s="79" t="s">
        <v>400</v>
      </c>
      <c r="L82" s="79" t="s">
        <v>401</v>
      </c>
      <c r="M82" s="79" t="s">
        <v>402</v>
      </c>
      <c r="N82" s="79" t="s">
        <v>403</v>
      </c>
      <c r="O82" s="79" t="s">
        <v>404</v>
      </c>
      <c r="P82" s="79" t="s">
        <v>405</v>
      </c>
      <c r="Q82" s="79" t="s">
        <v>406</v>
      </c>
    </row>
    <row r="83" spans="2:17">
      <c r="B83" s="80" t="s">
        <v>451</v>
      </c>
      <c r="C83" s="80" t="s">
        <v>452</v>
      </c>
      <c r="E83" s="79" t="s">
        <v>408</v>
      </c>
      <c r="F83" s="81" t="s">
        <v>244</v>
      </c>
      <c r="G83" s="81" t="s">
        <v>244</v>
      </c>
      <c r="H83" s="172" t="s">
        <v>114</v>
      </c>
      <c r="I83" s="172"/>
      <c r="J83" s="172"/>
      <c r="K83" s="172"/>
      <c r="L83" s="172"/>
      <c r="M83" s="172"/>
      <c r="N83" s="172"/>
      <c r="O83" s="172"/>
      <c r="P83" s="172"/>
      <c r="Q83" s="172"/>
    </row>
    <row r="84" spans="2:17">
      <c r="E84" s="79" t="s">
        <v>409</v>
      </c>
      <c r="F84" s="82"/>
      <c r="G84" s="82"/>
      <c r="H84" s="172" t="s">
        <v>420</v>
      </c>
      <c r="I84" s="172"/>
      <c r="J84" s="172"/>
      <c r="K84" s="172"/>
      <c r="L84" s="172"/>
      <c r="M84" s="172"/>
      <c r="N84" s="172"/>
      <c r="O84" s="172"/>
      <c r="P84" s="172"/>
      <c r="Q84" s="172"/>
    </row>
    <row r="85" spans="2:17">
      <c r="E85" s="79" t="s">
        <v>386</v>
      </c>
      <c r="F85" s="82"/>
      <c r="G85" s="82"/>
      <c r="H85" s="172" t="s">
        <v>411</v>
      </c>
      <c r="I85" s="172"/>
      <c r="J85" s="172"/>
      <c r="K85" s="172"/>
      <c r="L85" s="172"/>
      <c r="M85" s="172"/>
      <c r="N85" s="172"/>
      <c r="O85" s="172"/>
      <c r="P85" s="172"/>
      <c r="Q85" s="172"/>
    </row>
    <row r="86" spans="2:17">
      <c r="E86" s="79" t="s">
        <v>389</v>
      </c>
      <c r="F86" s="82"/>
      <c r="G86" s="82"/>
      <c r="H86" s="172" t="s">
        <v>203</v>
      </c>
      <c r="I86" s="172"/>
      <c r="J86" s="172"/>
      <c r="K86" s="172"/>
      <c r="L86" s="172"/>
      <c r="M86" s="172"/>
      <c r="N86" s="172"/>
      <c r="O86" s="172"/>
      <c r="P86" s="172"/>
      <c r="Q86" s="172"/>
    </row>
    <row r="87" spans="2:17" ht="28.05" customHeight="1">
      <c r="E87" s="79" t="s">
        <v>413</v>
      </c>
      <c r="F87" s="184" t="s">
        <v>453</v>
      </c>
      <c r="G87" s="184"/>
      <c r="H87" s="184"/>
      <c r="I87" s="184"/>
      <c r="J87" s="184"/>
      <c r="K87" s="184"/>
      <c r="L87" s="184"/>
      <c r="M87" s="184"/>
      <c r="N87" s="184"/>
      <c r="O87" s="184"/>
      <c r="P87" s="184"/>
      <c r="Q87" s="184"/>
    </row>
    <row r="88" spans="2:17">
      <c r="E88" s="84"/>
      <c r="F88" s="77"/>
      <c r="G88" s="77"/>
      <c r="H88" s="77"/>
      <c r="I88" s="77"/>
      <c r="J88" s="77"/>
      <c r="K88" s="77"/>
      <c r="L88" s="77"/>
      <c r="M88" s="77"/>
      <c r="N88" s="77"/>
      <c r="O88" s="77"/>
      <c r="P88" s="77"/>
      <c r="Q88" s="77"/>
    </row>
    <row r="89" spans="2:17">
      <c r="B89" s="78" t="s">
        <v>393</v>
      </c>
      <c r="C89" s="78" t="s">
        <v>394</v>
      </c>
      <c r="E89" s="79"/>
      <c r="F89" s="79" t="s">
        <v>395</v>
      </c>
      <c r="G89" s="79" t="s">
        <v>396</v>
      </c>
      <c r="H89" s="79" t="s">
        <v>397</v>
      </c>
      <c r="I89" s="79" t="s">
        <v>398</v>
      </c>
      <c r="J89" s="79" t="s">
        <v>399</v>
      </c>
      <c r="K89" s="79" t="s">
        <v>400</v>
      </c>
      <c r="L89" s="79" t="s">
        <v>401</v>
      </c>
      <c r="M89" s="79" t="s">
        <v>402</v>
      </c>
      <c r="N89" s="79" t="s">
        <v>403</v>
      </c>
      <c r="O89" s="79" t="s">
        <v>404</v>
      </c>
      <c r="P89" s="79" t="s">
        <v>405</v>
      </c>
      <c r="Q89" s="79" t="s">
        <v>406</v>
      </c>
    </row>
    <row r="90" spans="2:17">
      <c r="B90" s="80" t="s">
        <v>454</v>
      </c>
      <c r="C90" s="80" t="s">
        <v>455</v>
      </c>
      <c r="E90" s="79" t="s">
        <v>408</v>
      </c>
      <c r="F90" s="81" t="s">
        <v>244</v>
      </c>
      <c r="G90" s="81" t="s">
        <v>244</v>
      </c>
      <c r="H90" s="172" t="s">
        <v>117</v>
      </c>
      <c r="I90" s="172"/>
      <c r="J90" s="172"/>
      <c r="K90" s="172"/>
      <c r="L90" s="172"/>
      <c r="M90" s="172"/>
      <c r="N90" s="172"/>
      <c r="O90" s="172"/>
      <c r="P90" s="172"/>
      <c r="Q90" s="172"/>
    </row>
    <row r="91" spans="2:17">
      <c r="E91" s="79" t="s">
        <v>409</v>
      </c>
      <c r="F91" s="82"/>
      <c r="G91" s="82"/>
      <c r="H91" s="172" t="s">
        <v>420</v>
      </c>
      <c r="I91" s="172"/>
      <c r="J91" s="172"/>
      <c r="K91" s="172"/>
      <c r="L91" s="172"/>
      <c r="M91" s="172"/>
      <c r="N91" s="172"/>
      <c r="O91" s="172"/>
      <c r="P91" s="172"/>
      <c r="Q91" s="172"/>
    </row>
    <row r="92" spans="2:17">
      <c r="E92" s="79" t="s">
        <v>386</v>
      </c>
      <c r="F92" s="82"/>
      <c r="G92" s="82"/>
      <c r="H92" s="172" t="s">
        <v>411</v>
      </c>
      <c r="I92" s="172"/>
      <c r="J92" s="172"/>
      <c r="K92" s="172"/>
      <c r="L92" s="172"/>
      <c r="M92" s="172"/>
      <c r="N92" s="172"/>
      <c r="O92" s="172"/>
      <c r="P92" s="172"/>
      <c r="Q92" s="172"/>
    </row>
    <row r="93" spans="2:17">
      <c r="E93" s="79" t="s">
        <v>389</v>
      </c>
      <c r="F93" s="82"/>
      <c r="G93" s="82"/>
      <c r="H93" s="172" t="s">
        <v>203</v>
      </c>
      <c r="I93" s="172"/>
      <c r="J93" s="172"/>
      <c r="K93" s="172"/>
      <c r="L93" s="172"/>
      <c r="M93" s="172"/>
      <c r="N93" s="172"/>
      <c r="O93" s="172"/>
      <c r="P93" s="172"/>
      <c r="Q93" s="172"/>
    </row>
    <row r="94" spans="2:17" ht="29.25" customHeight="1">
      <c r="E94" s="79" t="s">
        <v>413</v>
      </c>
      <c r="F94" s="184" t="s">
        <v>456</v>
      </c>
      <c r="G94" s="184"/>
      <c r="H94" s="184"/>
      <c r="I94" s="184"/>
      <c r="J94" s="184"/>
      <c r="K94" s="184"/>
      <c r="L94" s="184"/>
      <c r="M94" s="184"/>
      <c r="N94" s="184"/>
      <c r="O94" s="184"/>
      <c r="P94" s="184"/>
      <c r="Q94" s="184"/>
    </row>
    <row r="95" spans="2:17" ht="16.5" customHeight="1"/>
    <row r="96" spans="2:17">
      <c r="B96" s="78" t="s">
        <v>393</v>
      </c>
      <c r="C96" s="78" t="s">
        <v>394</v>
      </c>
      <c r="E96" s="79"/>
      <c r="F96" s="79" t="s">
        <v>395</v>
      </c>
      <c r="G96" s="79" t="s">
        <v>396</v>
      </c>
      <c r="H96" s="79" t="s">
        <v>397</v>
      </c>
      <c r="I96" s="79" t="s">
        <v>398</v>
      </c>
      <c r="J96" s="79" t="s">
        <v>399</v>
      </c>
      <c r="K96" s="79" t="s">
        <v>400</v>
      </c>
      <c r="L96" s="79" t="s">
        <v>401</v>
      </c>
      <c r="M96" s="79" t="s">
        <v>402</v>
      </c>
      <c r="N96" s="79" t="s">
        <v>403</v>
      </c>
      <c r="O96" s="79" t="s">
        <v>404</v>
      </c>
      <c r="P96" s="79" t="s">
        <v>405</v>
      </c>
      <c r="Q96" s="79" t="s">
        <v>406</v>
      </c>
    </row>
    <row r="97" spans="2:17">
      <c r="B97" s="80" t="s">
        <v>457</v>
      </c>
      <c r="C97" s="80" t="s">
        <v>118</v>
      </c>
      <c r="E97" s="79" t="s">
        <v>408</v>
      </c>
      <c r="F97" s="171" t="s">
        <v>120</v>
      </c>
      <c r="G97" s="185"/>
      <c r="H97" s="185"/>
      <c r="I97" s="185"/>
      <c r="J97" s="185"/>
      <c r="K97" s="185"/>
      <c r="L97" s="185"/>
      <c r="M97" s="185"/>
      <c r="N97" s="185"/>
      <c r="O97" s="185"/>
      <c r="P97" s="185"/>
      <c r="Q97" s="179"/>
    </row>
    <row r="98" spans="2:17">
      <c r="E98" s="79" t="s">
        <v>409</v>
      </c>
      <c r="F98" s="171" t="s">
        <v>420</v>
      </c>
      <c r="G98" s="185"/>
      <c r="H98" s="185"/>
      <c r="I98" s="185"/>
      <c r="J98" s="185"/>
      <c r="K98" s="185"/>
      <c r="L98" s="185"/>
      <c r="M98" s="185"/>
      <c r="N98" s="185"/>
      <c r="O98" s="185"/>
      <c r="P98" s="185"/>
      <c r="Q98" s="179"/>
    </row>
    <row r="99" spans="2:17">
      <c r="E99" s="79" t="s">
        <v>386</v>
      </c>
      <c r="F99" s="171" t="s">
        <v>411</v>
      </c>
      <c r="G99" s="185"/>
      <c r="H99" s="185"/>
      <c r="I99" s="185"/>
      <c r="J99" s="185"/>
      <c r="K99" s="185"/>
      <c r="L99" s="185"/>
      <c r="M99" s="185"/>
      <c r="N99" s="185"/>
      <c r="O99" s="185"/>
      <c r="P99" s="185"/>
      <c r="Q99" s="179"/>
    </row>
    <row r="100" spans="2:17">
      <c r="E100" s="79" t="s">
        <v>389</v>
      </c>
      <c r="F100" s="171" t="s">
        <v>412</v>
      </c>
      <c r="G100" s="185"/>
      <c r="H100" s="185"/>
      <c r="I100" s="185"/>
      <c r="J100" s="185"/>
      <c r="K100" s="185"/>
      <c r="L100" s="185"/>
      <c r="M100" s="185"/>
      <c r="N100" s="185"/>
      <c r="O100" s="185"/>
      <c r="P100" s="185"/>
      <c r="Q100" s="179"/>
    </row>
    <row r="101" spans="2:17">
      <c r="E101" s="79" t="s">
        <v>413</v>
      </c>
      <c r="F101" s="180" t="s">
        <v>458</v>
      </c>
      <c r="G101" s="186"/>
      <c r="H101" s="186"/>
      <c r="I101" s="186"/>
      <c r="J101" s="186"/>
      <c r="K101" s="186"/>
      <c r="L101" s="186"/>
      <c r="M101" s="186"/>
      <c r="N101" s="186"/>
      <c r="O101" s="186"/>
      <c r="P101" s="186"/>
      <c r="Q101" s="187"/>
    </row>
    <row r="103" spans="2:17">
      <c r="B103" s="78" t="s">
        <v>393</v>
      </c>
      <c r="C103" s="78" t="s">
        <v>394</v>
      </c>
      <c r="E103" s="79"/>
      <c r="F103" s="79" t="s">
        <v>395</v>
      </c>
      <c r="G103" s="79" t="s">
        <v>396</v>
      </c>
      <c r="H103" s="79" t="s">
        <v>397</v>
      </c>
      <c r="I103" s="79" t="s">
        <v>398</v>
      </c>
      <c r="J103" s="79" t="s">
        <v>399</v>
      </c>
      <c r="K103" s="79" t="s">
        <v>400</v>
      </c>
      <c r="L103" s="79" t="s">
        <v>401</v>
      </c>
      <c r="M103" s="79" t="s">
        <v>402</v>
      </c>
      <c r="N103" s="79" t="s">
        <v>403</v>
      </c>
      <c r="O103" s="79" t="s">
        <v>404</v>
      </c>
      <c r="P103" s="79" t="s">
        <v>405</v>
      </c>
      <c r="Q103" s="79" t="s">
        <v>406</v>
      </c>
    </row>
    <row r="104" spans="2:17">
      <c r="B104" s="80" t="s">
        <v>459</v>
      </c>
      <c r="C104" s="80" t="s">
        <v>121</v>
      </c>
      <c r="E104" s="79" t="s">
        <v>408</v>
      </c>
      <c r="F104" s="171" t="s">
        <v>123</v>
      </c>
      <c r="G104" s="185"/>
      <c r="H104" s="185"/>
      <c r="I104" s="185"/>
      <c r="J104" s="185"/>
      <c r="K104" s="185"/>
      <c r="L104" s="185"/>
      <c r="M104" s="185"/>
      <c r="N104" s="185"/>
      <c r="O104" s="185"/>
      <c r="P104" s="185"/>
      <c r="Q104" s="179"/>
    </row>
    <row r="105" spans="2:17">
      <c r="E105" s="79" t="s">
        <v>409</v>
      </c>
      <c r="F105" s="171" t="s">
        <v>420</v>
      </c>
      <c r="G105" s="185"/>
      <c r="H105" s="185"/>
      <c r="I105" s="185"/>
      <c r="J105" s="185"/>
      <c r="K105" s="185"/>
      <c r="L105" s="185"/>
      <c r="M105" s="185"/>
      <c r="N105" s="185"/>
      <c r="O105" s="185"/>
      <c r="P105" s="185"/>
      <c r="Q105" s="179"/>
    </row>
    <row r="106" spans="2:17">
      <c r="E106" s="79" t="s">
        <v>386</v>
      </c>
      <c r="F106" s="171" t="s">
        <v>411</v>
      </c>
      <c r="G106" s="185"/>
      <c r="H106" s="185"/>
      <c r="I106" s="185"/>
      <c r="J106" s="185"/>
      <c r="K106" s="185"/>
      <c r="L106" s="185"/>
      <c r="M106" s="185"/>
      <c r="N106" s="185"/>
      <c r="O106" s="185"/>
      <c r="P106" s="185"/>
      <c r="Q106" s="179"/>
    </row>
    <row r="107" spans="2:17">
      <c r="E107" s="79" t="s">
        <v>389</v>
      </c>
      <c r="F107" s="171" t="s">
        <v>412</v>
      </c>
      <c r="G107" s="185"/>
      <c r="H107" s="185"/>
      <c r="I107" s="185"/>
      <c r="J107" s="185"/>
      <c r="K107" s="185"/>
      <c r="L107" s="185"/>
      <c r="M107" s="185"/>
      <c r="N107" s="185"/>
      <c r="O107" s="185"/>
      <c r="P107" s="185"/>
      <c r="Q107" s="179"/>
    </row>
    <row r="108" spans="2:17">
      <c r="E108" s="79" t="s">
        <v>413</v>
      </c>
      <c r="F108" s="180" t="s">
        <v>460</v>
      </c>
      <c r="G108" s="186"/>
      <c r="H108" s="186"/>
      <c r="I108" s="186"/>
      <c r="J108" s="186"/>
      <c r="K108" s="186"/>
      <c r="L108" s="186"/>
      <c r="M108" s="186"/>
      <c r="N108" s="186"/>
      <c r="O108" s="186"/>
      <c r="P108" s="186"/>
      <c r="Q108" s="187"/>
    </row>
    <row r="110" spans="2:17">
      <c r="B110" s="78" t="s">
        <v>393</v>
      </c>
      <c r="C110" s="78" t="s">
        <v>394</v>
      </c>
      <c r="E110" s="79"/>
      <c r="F110" s="79" t="s">
        <v>395</v>
      </c>
      <c r="G110" s="79" t="s">
        <v>396</v>
      </c>
      <c r="H110" s="79" t="s">
        <v>397</v>
      </c>
      <c r="I110" s="79" t="s">
        <v>398</v>
      </c>
      <c r="J110" s="79" t="s">
        <v>399</v>
      </c>
      <c r="K110" s="79" t="s">
        <v>400</v>
      </c>
      <c r="L110" s="79" t="s">
        <v>401</v>
      </c>
      <c r="M110" s="79" t="s">
        <v>402</v>
      </c>
      <c r="N110" s="79" t="s">
        <v>403</v>
      </c>
      <c r="O110" s="79" t="s">
        <v>404</v>
      </c>
      <c r="P110" s="79" t="s">
        <v>405</v>
      </c>
      <c r="Q110" s="79" t="s">
        <v>406</v>
      </c>
    </row>
    <row r="111" spans="2:17">
      <c r="B111" s="80" t="s">
        <v>461</v>
      </c>
      <c r="C111" s="80" t="s">
        <v>124</v>
      </c>
      <c r="E111" s="79" t="s">
        <v>408</v>
      </c>
      <c r="F111" s="171" t="s">
        <v>126</v>
      </c>
      <c r="G111" s="185"/>
      <c r="H111" s="185"/>
      <c r="I111" s="185"/>
      <c r="J111" s="185"/>
      <c r="K111" s="185"/>
      <c r="L111" s="185"/>
      <c r="M111" s="185"/>
      <c r="N111" s="185"/>
      <c r="O111" s="185"/>
      <c r="P111" s="185"/>
      <c r="Q111" s="179"/>
    </row>
    <row r="112" spans="2:17">
      <c r="E112" s="79" t="s">
        <v>409</v>
      </c>
      <c r="F112" s="171" t="s">
        <v>420</v>
      </c>
      <c r="G112" s="185"/>
      <c r="H112" s="185"/>
      <c r="I112" s="185"/>
      <c r="J112" s="185"/>
      <c r="K112" s="185"/>
      <c r="L112" s="185"/>
      <c r="M112" s="185"/>
      <c r="N112" s="185"/>
      <c r="O112" s="185"/>
      <c r="P112" s="185"/>
      <c r="Q112" s="179"/>
    </row>
    <row r="113" spans="2:17">
      <c r="E113" s="79" t="s">
        <v>386</v>
      </c>
      <c r="F113" s="171" t="s">
        <v>411</v>
      </c>
      <c r="G113" s="185"/>
      <c r="H113" s="185"/>
      <c r="I113" s="185"/>
      <c r="J113" s="185"/>
      <c r="K113" s="185"/>
      <c r="L113" s="185"/>
      <c r="M113" s="185"/>
      <c r="N113" s="185"/>
      <c r="O113" s="185"/>
      <c r="P113" s="185"/>
      <c r="Q113" s="179"/>
    </row>
    <row r="114" spans="2:17">
      <c r="E114" s="79" t="s">
        <v>389</v>
      </c>
      <c r="F114" s="171" t="s">
        <v>412</v>
      </c>
      <c r="G114" s="185"/>
      <c r="H114" s="185"/>
      <c r="I114" s="185"/>
      <c r="J114" s="185"/>
      <c r="K114" s="185"/>
      <c r="L114" s="185"/>
      <c r="M114" s="185"/>
      <c r="N114" s="185"/>
      <c r="O114" s="185"/>
      <c r="P114" s="185"/>
      <c r="Q114" s="179"/>
    </row>
    <row r="115" spans="2:17">
      <c r="E115" s="79" t="s">
        <v>413</v>
      </c>
      <c r="F115" s="180" t="s">
        <v>462</v>
      </c>
      <c r="G115" s="186"/>
      <c r="H115" s="186"/>
      <c r="I115" s="186"/>
      <c r="J115" s="186"/>
      <c r="K115" s="186"/>
      <c r="L115" s="186"/>
      <c r="M115" s="186"/>
      <c r="N115" s="186"/>
      <c r="O115" s="186"/>
      <c r="P115" s="186"/>
      <c r="Q115" s="187"/>
    </row>
    <row r="117" spans="2:17">
      <c r="B117" s="78" t="s">
        <v>393</v>
      </c>
      <c r="C117" s="78" t="s">
        <v>394</v>
      </c>
      <c r="E117" s="79"/>
      <c r="F117" s="79" t="s">
        <v>395</v>
      </c>
      <c r="G117" s="79" t="s">
        <v>396</v>
      </c>
      <c r="H117" s="79" t="s">
        <v>397</v>
      </c>
      <c r="I117" s="79" t="s">
        <v>398</v>
      </c>
      <c r="J117" s="79" t="s">
        <v>399</v>
      </c>
      <c r="K117" s="79" t="s">
        <v>400</v>
      </c>
      <c r="L117" s="79" t="s">
        <v>401</v>
      </c>
      <c r="M117" s="79" t="s">
        <v>402</v>
      </c>
      <c r="N117" s="79" t="s">
        <v>403</v>
      </c>
      <c r="O117" s="79" t="s">
        <v>404</v>
      </c>
      <c r="P117" s="79" t="s">
        <v>405</v>
      </c>
      <c r="Q117" s="79" t="s">
        <v>406</v>
      </c>
    </row>
    <row r="118" spans="2:17">
      <c r="B118" s="80" t="s">
        <v>463</v>
      </c>
      <c r="C118" s="80" t="s">
        <v>464</v>
      </c>
      <c r="E118" s="79" t="s">
        <v>408</v>
      </c>
      <c r="F118" s="172" t="s">
        <v>129</v>
      </c>
      <c r="G118" s="172"/>
      <c r="H118" s="172"/>
      <c r="I118" s="172"/>
      <c r="J118" s="172" t="s">
        <v>130</v>
      </c>
      <c r="K118" s="172"/>
      <c r="L118" s="172"/>
      <c r="M118" s="172"/>
      <c r="N118" s="172" t="s">
        <v>131</v>
      </c>
      <c r="O118" s="172"/>
      <c r="P118" s="172"/>
      <c r="Q118" s="172"/>
    </row>
    <row r="119" spans="2:17">
      <c r="E119" s="79" t="s">
        <v>409</v>
      </c>
      <c r="F119" s="171" t="s">
        <v>465</v>
      </c>
      <c r="G119" s="185"/>
      <c r="H119" s="185"/>
      <c r="I119" s="185"/>
      <c r="J119" s="171" t="s">
        <v>465</v>
      </c>
      <c r="K119" s="185"/>
      <c r="L119" s="185"/>
      <c r="M119" s="185"/>
      <c r="N119" s="171" t="s">
        <v>465</v>
      </c>
      <c r="O119" s="185"/>
      <c r="P119" s="185"/>
      <c r="Q119" s="185"/>
    </row>
    <row r="120" spans="2:17">
      <c r="E120" s="79" t="s">
        <v>386</v>
      </c>
      <c r="F120" s="171" t="s">
        <v>411</v>
      </c>
      <c r="G120" s="185"/>
      <c r="H120" s="185"/>
      <c r="I120" s="185"/>
      <c r="J120" s="185"/>
      <c r="K120" s="185"/>
      <c r="L120" s="185"/>
      <c r="M120" s="185"/>
      <c r="N120" s="185"/>
      <c r="O120" s="185"/>
      <c r="P120" s="185"/>
      <c r="Q120" s="179"/>
    </row>
    <row r="121" spans="2:17">
      <c r="E121" s="79" t="s">
        <v>389</v>
      </c>
      <c r="F121" s="171" t="s">
        <v>203</v>
      </c>
      <c r="G121" s="185"/>
      <c r="H121" s="185"/>
      <c r="I121" s="185"/>
      <c r="J121" s="185"/>
      <c r="K121" s="185"/>
      <c r="L121" s="185"/>
      <c r="M121" s="185"/>
      <c r="N121" s="185"/>
      <c r="O121" s="185"/>
      <c r="P121" s="185"/>
      <c r="Q121" s="179"/>
    </row>
    <row r="122" spans="2:17" ht="300.39999999999998" customHeight="1">
      <c r="E122" s="79" t="s">
        <v>413</v>
      </c>
      <c r="F122" s="178" t="s">
        <v>466</v>
      </c>
      <c r="G122" s="188"/>
      <c r="H122" s="188"/>
      <c r="I122" s="188"/>
      <c r="J122" s="188"/>
      <c r="K122" s="188"/>
      <c r="L122" s="188"/>
      <c r="M122" s="188"/>
      <c r="N122" s="188"/>
      <c r="O122" s="188"/>
      <c r="P122" s="188"/>
      <c r="Q122" s="189"/>
    </row>
    <row r="124" spans="2:17">
      <c r="B124" s="78" t="s">
        <v>393</v>
      </c>
      <c r="C124" s="78" t="s">
        <v>394</v>
      </c>
      <c r="E124" s="79"/>
      <c r="F124" s="79" t="s">
        <v>395</v>
      </c>
      <c r="G124" s="79" t="s">
        <v>396</v>
      </c>
      <c r="H124" s="79" t="s">
        <v>397</v>
      </c>
      <c r="I124" s="79" t="s">
        <v>398</v>
      </c>
      <c r="J124" s="79" t="s">
        <v>399</v>
      </c>
      <c r="K124" s="79" t="s">
        <v>400</v>
      </c>
      <c r="L124" s="79" t="s">
        <v>401</v>
      </c>
      <c r="M124" s="79" t="s">
        <v>402</v>
      </c>
      <c r="N124" s="79" t="s">
        <v>403</v>
      </c>
      <c r="O124" s="79" t="s">
        <v>404</v>
      </c>
      <c r="P124" s="79" t="s">
        <v>405</v>
      </c>
      <c r="Q124" s="79" t="s">
        <v>406</v>
      </c>
    </row>
    <row r="125" spans="2:17" ht="17.25" customHeight="1">
      <c r="B125" s="80" t="s">
        <v>467</v>
      </c>
      <c r="C125" s="80" t="s">
        <v>468</v>
      </c>
      <c r="E125" s="79" t="s">
        <v>408</v>
      </c>
      <c r="F125" s="81" t="s">
        <v>244</v>
      </c>
      <c r="G125" s="81" t="s">
        <v>244</v>
      </c>
      <c r="H125" s="171" t="s">
        <v>469</v>
      </c>
      <c r="I125" s="185"/>
      <c r="J125" s="185"/>
      <c r="K125" s="185"/>
      <c r="L125" s="185"/>
      <c r="M125" s="185"/>
      <c r="N125" s="185"/>
      <c r="O125" s="185"/>
      <c r="P125" s="185"/>
      <c r="Q125" s="179"/>
    </row>
    <row r="126" spans="2:17">
      <c r="E126" s="79" t="s">
        <v>409</v>
      </c>
      <c r="F126" s="171" t="s">
        <v>470</v>
      </c>
      <c r="G126" s="185"/>
      <c r="H126" s="185"/>
      <c r="I126" s="185"/>
      <c r="J126" s="185"/>
      <c r="K126" s="185"/>
      <c r="L126" s="185"/>
      <c r="M126" s="185"/>
      <c r="N126" s="185"/>
      <c r="O126" s="185"/>
      <c r="P126" s="185"/>
      <c r="Q126" s="179"/>
    </row>
    <row r="127" spans="2:17">
      <c r="E127" s="79" t="s">
        <v>386</v>
      </c>
      <c r="F127" s="171" t="s">
        <v>411</v>
      </c>
      <c r="G127" s="185"/>
      <c r="H127" s="185"/>
      <c r="I127" s="185"/>
      <c r="J127" s="185"/>
      <c r="K127" s="185"/>
      <c r="L127" s="185"/>
      <c r="M127" s="185"/>
      <c r="N127" s="185"/>
      <c r="O127" s="185"/>
      <c r="P127" s="185"/>
      <c r="Q127" s="179"/>
    </row>
    <row r="128" spans="2:17">
      <c r="E128" s="79" t="s">
        <v>389</v>
      </c>
      <c r="F128" s="171" t="s">
        <v>203</v>
      </c>
      <c r="G128" s="185"/>
      <c r="H128" s="185"/>
      <c r="I128" s="185"/>
      <c r="J128" s="185"/>
      <c r="K128" s="185"/>
      <c r="L128" s="185"/>
      <c r="M128" s="185"/>
      <c r="N128" s="185"/>
      <c r="O128" s="185"/>
      <c r="P128" s="185"/>
      <c r="Q128" s="179"/>
    </row>
    <row r="129" spans="2:17">
      <c r="E129" s="79" t="s">
        <v>413</v>
      </c>
      <c r="F129" s="180" t="s">
        <v>471</v>
      </c>
      <c r="G129" s="186"/>
      <c r="H129" s="186"/>
      <c r="I129" s="186"/>
      <c r="J129" s="186"/>
      <c r="K129" s="186"/>
      <c r="L129" s="186"/>
      <c r="M129" s="186"/>
      <c r="N129" s="186"/>
      <c r="O129" s="186"/>
      <c r="P129" s="186"/>
      <c r="Q129" s="187"/>
    </row>
    <row r="131" spans="2:17">
      <c r="B131" s="78" t="s">
        <v>393</v>
      </c>
      <c r="C131" s="78" t="s">
        <v>394</v>
      </c>
      <c r="E131" s="79"/>
      <c r="F131" s="79" t="s">
        <v>395</v>
      </c>
      <c r="G131" s="79" t="s">
        <v>396</v>
      </c>
      <c r="H131" s="79" t="s">
        <v>397</v>
      </c>
      <c r="I131" s="79" t="s">
        <v>398</v>
      </c>
      <c r="J131" s="79" t="s">
        <v>399</v>
      </c>
      <c r="K131" s="79" t="s">
        <v>400</v>
      </c>
      <c r="L131" s="79" t="s">
        <v>401</v>
      </c>
      <c r="M131" s="79" t="s">
        <v>402</v>
      </c>
      <c r="N131" s="79" t="s">
        <v>403</v>
      </c>
      <c r="O131" s="79" t="s">
        <v>404</v>
      </c>
      <c r="P131" s="79" t="s">
        <v>405</v>
      </c>
      <c r="Q131" s="79" t="s">
        <v>406</v>
      </c>
    </row>
    <row r="132" spans="2:17" ht="17.25" customHeight="1">
      <c r="B132" s="80" t="s">
        <v>472</v>
      </c>
      <c r="C132" s="80" t="s">
        <v>473</v>
      </c>
      <c r="E132" s="79" t="s">
        <v>408</v>
      </c>
      <c r="F132" s="81" t="s">
        <v>244</v>
      </c>
      <c r="G132" s="81" t="s">
        <v>244</v>
      </c>
      <c r="H132" s="171" t="s">
        <v>474</v>
      </c>
      <c r="I132" s="185"/>
      <c r="J132" s="185"/>
      <c r="K132" s="185"/>
      <c r="L132" s="185"/>
      <c r="M132" s="185"/>
      <c r="N132" s="185"/>
      <c r="O132" s="185"/>
      <c r="P132" s="185"/>
      <c r="Q132" s="179"/>
    </row>
    <row r="133" spans="2:17">
      <c r="E133" s="79" t="s">
        <v>409</v>
      </c>
      <c r="F133" s="171" t="s">
        <v>470</v>
      </c>
      <c r="G133" s="185"/>
      <c r="H133" s="185"/>
      <c r="I133" s="185"/>
      <c r="J133" s="185"/>
      <c r="K133" s="185"/>
      <c r="L133" s="185"/>
      <c r="M133" s="185"/>
      <c r="N133" s="185"/>
      <c r="O133" s="185"/>
      <c r="P133" s="185"/>
      <c r="Q133" s="179"/>
    </row>
    <row r="134" spans="2:17">
      <c r="E134" s="79" t="s">
        <v>386</v>
      </c>
      <c r="F134" s="171" t="s">
        <v>411</v>
      </c>
      <c r="G134" s="185"/>
      <c r="H134" s="185"/>
      <c r="I134" s="185"/>
      <c r="J134" s="185"/>
      <c r="K134" s="185"/>
      <c r="L134" s="185"/>
      <c r="M134" s="185"/>
      <c r="N134" s="185"/>
      <c r="O134" s="185"/>
      <c r="P134" s="185"/>
      <c r="Q134" s="179"/>
    </row>
    <row r="135" spans="2:17">
      <c r="E135" s="79" t="s">
        <v>389</v>
      </c>
      <c r="F135" s="171" t="s">
        <v>203</v>
      </c>
      <c r="G135" s="185"/>
      <c r="H135" s="185"/>
      <c r="I135" s="185"/>
      <c r="J135" s="185"/>
      <c r="K135" s="185"/>
      <c r="L135" s="185"/>
      <c r="M135" s="185"/>
      <c r="N135" s="185"/>
      <c r="O135" s="185"/>
      <c r="P135" s="185"/>
      <c r="Q135" s="179"/>
    </row>
    <row r="136" spans="2:17" ht="17.25" customHeight="1">
      <c r="E136" s="79" t="s">
        <v>413</v>
      </c>
      <c r="F136" s="180" t="s">
        <v>475</v>
      </c>
      <c r="G136" s="186"/>
      <c r="H136" s="186"/>
      <c r="I136" s="186"/>
      <c r="J136" s="186"/>
      <c r="K136" s="186"/>
      <c r="L136" s="186"/>
      <c r="M136" s="186"/>
      <c r="N136" s="186"/>
      <c r="O136" s="186"/>
      <c r="P136" s="186"/>
      <c r="Q136" s="187"/>
    </row>
    <row r="138" spans="2:17">
      <c r="B138" s="78" t="s">
        <v>393</v>
      </c>
      <c r="C138" s="78" t="s">
        <v>394</v>
      </c>
      <c r="E138" s="79"/>
      <c r="F138" s="79" t="s">
        <v>395</v>
      </c>
      <c r="G138" s="79" t="s">
        <v>396</v>
      </c>
      <c r="H138" s="79" t="s">
        <v>397</v>
      </c>
      <c r="I138" s="79" t="s">
        <v>398</v>
      </c>
      <c r="J138" s="79" t="s">
        <v>399</v>
      </c>
      <c r="K138" s="79" t="s">
        <v>400</v>
      </c>
      <c r="L138" s="79" t="s">
        <v>401</v>
      </c>
      <c r="M138" s="79" t="s">
        <v>402</v>
      </c>
      <c r="N138" s="79" t="s">
        <v>403</v>
      </c>
      <c r="O138" s="79" t="s">
        <v>404</v>
      </c>
      <c r="P138" s="79" t="s">
        <v>405</v>
      </c>
      <c r="Q138" s="79" t="s">
        <v>406</v>
      </c>
    </row>
    <row r="139" spans="2:17" ht="17.25" customHeight="1">
      <c r="B139" s="80" t="s">
        <v>476</v>
      </c>
      <c r="C139" s="80" t="s">
        <v>477</v>
      </c>
      <c r="E139" s="79" t="s">
        <v>408</v>
      </c>
      <c r="F139" s="81" t="s">
        <v>244</v>
      </c>
      <c r="G139" s="81" t="s">
        <v>244</v>
      </c>
      <c r="H139" s="171" t="s">
        <v>478</v>
      </c>
      <c r="I139" s="185"/>
      <c r="J139" s="185"/>
      <c r="K139" s="185"/>
      <c r="L139" s="185"/>
      <c r="M139" s="185"/>
      <c r="N139" s="185"/>
      <c r="O139" s="185"/>
      <c r="P139" s="185"/>
      <c r="Q139" s="179"/>
    </row>
    <row r="140" spans="2:17">
      <c r="E140" s="79" t="s">
        <v>409</v>
      </c>
      <c r="F140" s="171" t="s">
        <v>479</v>
      </c>
      <c r="G140" s="185"/>
      <c r="H140" s="185"/>
      <c r="I140" s="185"/>
      <c r="J140" s="185"/>
      <c r="K140" s="185"/>
      <c r="L140" s="185"/>
      <c r="M140" s="185"/>
      <c r="N140" s="185"/>
      <c r="O140" s="185"/>
      <c r="P140" s="185"/>
      <c r="Q140" s="179"/>
    </row>
    <row r="141" spans="2:17">
      <c r="E141" s="79" t="s">
        <v>386</v>
      </c>
      <c r="F141" s="171" t="s">
        <v>411</v>
      </c>
      <c r="G141" s="185"/>
      <c r="H141" s="185"/>
      <c r="I141" s="185"/>
      <c r="J141" s="185"/>
      <c r="K141" s="185"/>
      <c r="L141" s="185"/>
      <c r="M141" s="185"/>
      <c r="N141" s="185"/>
      <c r="O141" s="185"/>
      <c r="P141" s="185"/>
      <c r="Q141" s="179"/>
    </row>
    <row r="142" spans="2:17">
      <c r="E142" s="79" t="s">
        <v>389</v>
      </c>
      <c r="F142" s="171" t="s">
        <v>203</v>
      </c>
      <c r="G142" s="185"/>
      <c r="H142" s="185"/>
      <c r="I142" s="185"/>
      <c r="J142" s="185"/>
      <c r="K142" s="185"/>
      <c r="L142" s="185"/>
      <c r="M142" s="185"/>
      <c r="N142" s="185"/>
      <c r="O142" s="185"/>
      <c r="P142" s="185"/>
      <c r="Q142" s="179"/>
    </row>
    <row r="143" spans="2:17" ht="16.5" customHeight="1">
      <c r="E143" s="79" t="s">
        <v>413</v>
      </c>
      <c r="F143" s="180" t="s">
        <v>480</v>
      </c>
      <c r="G143" s="186"/>
      <c r="H143" s="186"/>
      <c r="I143" s="186"/>
      <c r="J143" s="186"/>
      <c r="K143" s="186"/>
      <c r="L143" s="186"/>
      <c r="M143" s="186"/>
      <c r="N143" s="186"/>
      <c r="O143" s="186"/>
      <c r="P143" s="186"/>
      <c r="Q143" s="187"/>
    </row>
    <row r="145" spans="2:17">
      <c r="B145" s="78" t="s">
        <v>393</v>
      </c>
      <c r="C145" s="78" t="s">
        <v>394</v>
      </c>
      <c r="E145" s="79"/>
      <c r="F145" s="79" t="s">
        <v>395</v>
      </c>
      <c r="G145" s="79" t="s">
        <v>396</v>
      </c>
      <c r="H145" s="79" t="s">
        <v>397</v>
      </c>
      <c r="I145" s="79" t="s">
        <v>398</v>
      </c>
      <c r="J145" s="79" t="s">
        <v>399</v>
      </c>
      <c r="K145" s="79" t="s">
        <v>400</v>
      </c>
      <c r="L145" s="79" t="s">
        <v>401</v>
      </c>
      <c r="M145" s="79" t="s">
        <v>402</v>
      </c>
      <c r="N145" s="79" t="s">
        <v>403</v>
      </c>
      <c r="O145" s="79" t="s">
        <v>404</v>
      </c>
      <c r="P145" s="79" t="s">
        <v>405</v>
      </c>
      <c r="Q145" s="79" t="s">
        <v>406</v>
      </c>
    </row>
    <row r="146" spans="2:17" ht="17.25" customHeight="1">
      <c r="B146" s="80" t="s">
        <v>481</v>
      </c>
      <c r="C146" s="80" t="s">
        <v>482</v>
      </c>
      <c r="E146" s="79" t="s">
        <v>408</v>
      </c>
      <c r="F146" s="81" t="s">
        <v>244</v>
      </c>
      <c r="G146" s="81" t="s">
        <v>244</v>
      </c>
      <c r="H146" s="171" t="s">
        <v>483</v>
      </c>
      <c r="I146" s="185"/>
      <c r="J146" s="185"/>
      <c r="K146" s="185"/>
      <c r="L146" s="185"/>
      <c r="M146" s="185"/>
      <c r="N146" s="185"/>
      <c r="O146" s="185"/>
      <c r="P146" s="185"/>
      <c r="Q146" s="179"/>
    </row>
    <row r="147" spans="2:17">
      <c r="E147" s="79" t="s">
        <v>409</v>
      </c>
      <c r="F147" s="171" t="s">
        <v>484</v>
      </c>
      <c r="G147" s="185"/>
      <c r="H147" s="185"/>
      <c r="I147" s="185"/>
      <c r="J147" s="185"/>
      <c r="K147" s="185"/>
      <c r="L147" s="185"/>
      <c r="M147" s="185"/>
      <c r="N147" s="185"/>
      <c r="O147" s="185"/>
      <c r="P147" s="185"/>
      <c r="Q147" s="179"/>
    </row>
    <row r="148" spans="2:17">
      <c r="E148" s="79" t="s">
        <v>386</v>
      </c>
      <c r="F148" s="171" t="s">
        <v>411</v>
      </c>
      <c r="G148" s="185"/>
      <c r="H148" s="185"/>
      <c r="I148" s="185"/>
      <c r="J148" s="185"/>
      <c r="K148" s="185"/>
      <c r="L148" s="185"/>
      <c r="M148" s="185"/>
      <c r="N148" s="185"/>
      <c r="O148" s="185"/>
      <c r="P148" s="185"/>
      <c r="Q148" s="179"/>
    </row>
    <row r="149" spans="2:17">
      <c r="E149" s="79" t="s">
        <v>389</v>
      </c>
      <c r="F149" s="171" t="s">
        <v>203</v>
      </c>
      <c r="G149" s="185"/>
      <c r="H149" s="185"/>
      <c r="I149" s="185"/>
      <c r="J149" s="185"/>
      <c r="K149" s="185"/>
      <c r="L149" s="185"/>
      <c r="M149" s="185"/>
      <c r="N149" s="185"/>
      <c r="O149" s="185"/>
      <c r="P149" s="185"/>
      <c r="Q149" s="179"/>
    </row>
    <row r="150" spans="2:17" ht="16.5" customHeight="1">
      <c r="E150" s="79" t="s">
        <v>413</v>
      </c>
      <c r="F150" s="180" t="s">
        <v>485</v>
      </c>
      <c r="G150" s="186"/>
      <c r="H150" s="186"/>
      <c r="I150" s="186"/>
      <c r="J150" s="186"/>
      <c r="K150" s="186"/>
      <c r="L150" s="186"/>
      <c r="M150" s="186"/>
      <c r="N150" s="186"/>
      <c r="O150" s="186"/>
      <c r="P150" s="186"/>
      <c r="Q150" s="187"/>
    </row>
    <row r="152" spans="2:17">
      <c r="B152" s="78" t="s">
        <v>393</v>
      </c>
      <c r="C152" s="78" t="s">
        <v>394</v>
      </c>
      <c r="E152" s="79"/>
      <c r="F152" s="79" t="s">
        <v>395</v>
      </c>
      <c r="G152" s="79" t="s">
        <v>396</v>
      </c>
      <c r="H152" s="79" t="s">
        <v>397</v>
      </c>
      <c r="I152" s="79" t="s">
        <v>398</v>
      </c>
      <c r="J152" s="79" t="s">
        <v>399</v>
      </c>
      <c r="K152" s="79" t="s">
        <v>400</v>
      </c>
      <c r="L152" s="79" t="s">
        <v>401</v>
      </c>
      <c r="M152" s="79" t="s">
        <v>402</v>
      </c>
      <c r="N152" s="79" t="s">
        <v>403</v>
      </c>
      <c r="O152" s="79" t="s">
        <v>404</v>
      </c>
      <c r="P152" s="79" t="s">
        <v>405</v>
      </c>
      <c r="Q152" s="79" t="s">
        <v>406</v>
      </c>
    </row>
    <row r="153" spans="2:17" ht="17.25" customHeight="1">
      <c r="B153" s="80" t="s">
        <v>486</v>
      </c>
      <c r="C153" s="80" t="s">
        <v>487</v>
      </c>
      <c r="E153" s="79" t="s">
        <v>408</v>
      </c>
      <c r="F153" s="81" t="s">
        <v>244</v>
      </c>
      <c r="G153" s="81" t="s">
        <v>244</v>
      </c>
      <c r="H153" s="171" t="s">
        <v>488</v>
      </c>
      <c r="I153" s="185"/>
      <c r="J153" s="185"/>
      <c r="K153" s="185"/>
      <c r="L153" s="185"/>
      <c r="M153" s="185"/>
      <c r="N153" s="185"/>
      <c r="O153" s="185"/>
      <c r="P153" s="185"/>
      <c r="Q153" s="179"/>
    </row>
    <row r="154" spans="2:17">
      <c r="E154" s="79" t="s">
        <v>409</v>
      </c>
      <c r="F154" s="171" t="s">
        <v>489</v>
      </c>
      <c r="G154" s="185"/>
      <c r="H154" s="185"/>
      <c r="I154" s="185"/>
      <c r="J154" s="185"/>
      <c r="K154" s="185"/>
      <c r="L154" s="185"/>
      <c r="M154" s="185"/>
      <c r="N154" s="185"/>
      <c r="O154" s="185"/>
      <c r="P154" s="185"/>
      <c r="Q154" s="179"/>
    </row>
    <row r="155" spans="2:17">
      <c r="E155" s="79" t="s">
        <v>386</v>
      </c>
      <c r="F155" s="171" t="s">
        <v>411</v>
      </c>
      <c r="G155" s="185"/>
      <c r="H155" s="185"/>
      <c r="I155" s="185"/>
      <c r="J155" s="185"/>
      <c r="K155" s="185"/>
      <c r="L155" s="185"/>
      <c r="M155" s="185"/>
      <c r="N155" s="185"/>
      <c r="O155" s="185"/>
      <c r="P155" s="185"/>
      <c r="Q155" s="179"/>
    </row>
    <row r="156" spans="2:17">
      <c r="E156" s="79" t="s">
        <v>389</v>
      </c>
      <c r="F156" s="171" t="s">
        <v>203</v>
      </c>
      <c r="G156" s="185"/>
      <c r="H156" s="185"/>
      <c r="I156" s="185"/>
      <c r="J156" s="185"/>
      <c r="K156" s="185"/>
      <c r="L156" s="185"/>
      <c r="M156" s="185"/>
      <c r="N156" s="185"/>
      <c r="O156" s="185"/>
      <c r="P156" s="185"/>
      <c r="Q156" s="179"/>
    </row>
    <row r="157" spans="2:17" ht="16.5" customHeight="1">
      <c r="E157" s="79" t="s">
        <v>413</v>
      </c>
      <c r="F157" s="180" t="s">
        <v>490</v>
      </c>
      <c r="G157" s="186"/>
      <c r="H157" s="186"/>
      <c r="I157" s="186"/>
      <c r="J157" s="186"/>
      <c r="K157" s="186"/>
      <c r="L157" s="186"/>
      <c r="M157" s="186"/>
      <c r="N157" s="186"/>
      <c r="O157" s="186"/>
      <c r="P157" s="186"/>
      <c r="Q157" s="187"/>
    </row>
    <row r="159" spans="2:17">
      <c r="B159" s="78" t="s">
        <v>393</v>
      </c>
      <c r="C159" s="78" t="s">
        <v>394</v>
      </c>
      <c r="E159" s="79"/>
      <c r="F159" s="79" t="s">
        <v>395</v>
      </c>
      <c r="G159" s="79" t="s">
        <v>396</v>
      </c>
      <c r="H159" s="79" t="s">
        <v>397</v>
      </c>
      <c r="I159" s="79" t="s">
        <v>398</v>
      </c>
      <c r="J159" s="79" t="s">
        <v>399</v>
      </c>
      <c r="K159" s="79" t="s">
        <v>400</v>
      </c>
      <c r="L159" s="79" t="s">
        <v>401</v>
      </c>
      <c r="M159" s="79" t="s">
        <v>402</v>
      </c>
      <c r="N159" s="79" t="s">
        <v>403</v>
      </c>
      <c r="O159" s="79" t="s">
        <v>404</v>
      </c>
      <c r="P159" s="79" t="s">
        <v>405</v>
      </c>
      <c r="Q159" s="79" t="s">
        <v>406</v>
      </c>
    </row>
    <row r="160" spans="2:17" ht="17.25" customHeight="1">
      <c r="B160" s="80" t="s">
        <v>491</v>
      </c>
      <c r="C160" s="80" t="s">
        <v>492</v>
      </c>
      <c r="E160" s="79" t="s">
        <v>408</v>
      </c>
      <c r="F160" s="81" t="s">
        <v>244</v>
      </c>
      <c r="G160" s="81" t="s">
        <v>244</v>
      </c>
      <c r="H160" s="171" t="s">
        <v>493</v>
      </c>
      <c r="I160" s="185"/>
      <c r="J160" s="185"/>
      <c r="K160" s="185"/>
      <c r="L160" s="185"/>
      <c r="M160" s="185"/>
      <c r="N160" s="185"/>
      <c r="O160" s="185"/>
      <c r="P160" s="185"/>
      <c r="Q160" s="179"/>
    </row>
    <row r="161" spans="2:17">
      <c r="E161" s="79" t="s">
        <v>409</v>
      </c>
      <c r="F161" s="171" t="s">
        <v>494</v>
      </c>
      <c r="G161" s="185"/>
      <c r="H161" s="185"/>
      <c r="I161" s="185"/>
      <c r="J161" s="185"/>
      <c r="K161" s="185"/>
      <c r="L161" s="185"/>
      <c r="M161" s="185"/>
      <c r="N161" s="185"/>
      <c r="O161" s="185"/>
      <c r="P161" s="185"/>
      <c r="Q161" s="179"/>
    </row>
    <row r="162" spans="2:17">
      <c r="E162" s="79" t="s">
        <v>386</v>
      </c>
      <c r="F162" s="171" t="s">
        <v>411</v>
      </c>
      <c r="G162" s="185"/>
      <c r="H162" s="185"/>
      <c r="I162" s="185"/>
      <c r="J162" s="185"/>
      <c r="K162" s="185"/>
      <c r="L162" s="185"/>
      <c r="M162" s="185"/>
      <c r="N162" s="185"/>
      <c r="O162" s="185"/>
      <c r="P162" s="185"/>
      <c r="Q162" s="179"/>
    </row>
    <row r="163" spans="2:17">
      <c r="E163" s="79" t="s">
        <v>389</v>
      </c>
      <c r="F163" s="171" t="s">
        <v>203</v>
      </c>
      <c r="G163" s="185"/>
      <c r="H163" s="185"/>
      <c r="I163" s="185"/>
      <c r="J163" s="185"/>
      <c r="K163" s="185"/>
      <c r="L163" s="185"/>
      <c r="M163" s="185"/>
      <c r="N163" s="185"/>
      <c r="O163" s="185"/>
      <c r="P163" s="185"/>
      <c r="Q163" s="179"/>
    </row>
    <row r="164" spans="2:17" ht="16.5" customHeight="1">
      <c r="E164" s="79" t="s">
        <v>413</v>
      </c>
      <c r="F164" s="180" t="s">
        <v>495</v>
      </c>
      <c r="G164" s="186"/>
      <c r="H164" s="186"/>
      <c r="I164" s="186"/>
      <c r="J164" s="186"/>
      <c r="K164" s="186"/>
      <c r="L164" s="186"/>
      <c r="M164" s="186"/>
      <c r="N164" s="186"/>
      <c r="O164" s="186"/>
      <c r="P164" s="186"/>
      <c r="Q164" s="187"/>
    </row>
    <row r="166" spans="2:17">
      <c r="B166" s="78" t="s">
        <v>393</v>
      </c>
      <c r="C166" s="78" t="s">
        <v>394</v>
      </c>
      <c r="E166" s="79"/>
      <c r="F166" s="79" t="s">
        <v>395</v>
      </c>
      <c r="G166" s="79" t="s">
        <v>396</v>
      </c>
      <c r="H166" s="79" t="s">
        <v>397</v>
      </c>
      <c r="I166" s="79" t="s">
        <v>398</v>
      </c>
      <c r="J166" s="79" t="s">
        <v>399</v>
      </c>
      <c r="K166" s="79" t="s">
        <v>400</v>
      </c>
      <c r="L166" s="79" t="s">
        <v>401</v>
      </c>
      <c r="M166" s="79" t="s">
        <v>402</v>
      </c>
      <c r="N166" s="79" t="s">
        <v>403</v>
      </c>
      <c r="O166" s="79" t="s">
        <v>404</v>
      </c>
      <c r="P166" s="79" t="s">
        <v>405</v>
      </c>
      <c r="Q166" s="79" t="s">
        <v>406</v>
      </c>
    </row>
    <row r="167" spans="2:17" ht="17.25" customHeight="1">
      <c r="B167" s="80" t="s">
        <v>496</v>
      </c>
      <c r="C167" s="80" t="s">
        <v>497</v>
      </c>
      <c r="E167" s="79" t="s">
        <v>408</v>
      </c>
      <c r="F167" s="81" t="s">
        <v>244</v>
      </c>
      <c r="G167" s="81" t="s">
        <v>244</v>
      </c>
      <c r="H167" s="171" t="s">
        <v>498</v>
      </c>
      <c r="I167" s="185"/>
      <c r="J167" s="185"/>
      <c r="K167" s="185"/>
      <c r="L167" s="185"/>
      <c r="M167" s="185"/>
      <c r="N167" s="185"/>
      <c r="O167" s="185"/>
      <c r="P167" s="185"/>
      <c r="Q167" s="179"/>
    </row>
    <row r="168" spans="2:17">
      <c r="E168" s="79" t="s">
        <v>409</v>
      </c>
      <c r="F168" s="171" t="s">
        <v>499</v>
      </c>
      <c r="G168" s="185"/>
      <c r="H168" s="185"/>
      <c r="I168" s="185"/>
      <c r="J168" s="185"/>
      <c r="K168" s="185"/>
      <c r="L168" s="185"/>
      <c r="M168" s="185"/>
      <c r="N168" s="185"/>
      <c r="O168" s="185"/>
      <c r="P168" s="185"/>
      <c r="Q168" s="179"/>
    </row>
    <row r="169" spans="2:17">
      <c r="E169" s="79" t="s">
        <v>386</v>
      </c>
      <c r="F169" s="171" t="s">
        <v>411</v>
      </c>
      <c r="G169" s="185"/>
      <c r="H169" s="185"/>
      <c r="I169" s="185"/>
      <c r="J169" s="185"/>
      <c r="K169" s="185"/>
      <c r="L169" s="185"/>
      <c r="M169" s="185"/>
      <c r="N169" s="185"/>
      <c r="O169" s="185"/>
      <c r="P169" s="185"/>
      <c r="Q169" s="179"/>
    </row>
    <row r="170" spans="2:17">
      <c r="E170" s="79" t="s">
        <v>389</v>
      </c>
      <c r="F170" s="171" t="s">
        <v>203</v>
      </c>
      <c r="G170" s="185"/>
      <c r="H170" s="185"/>
      <c r="I170" s="185"/>
      <c r="J170" s="185"/>
      <c r="K170" s="185"/>
      <c r="L170" s="185"/>
      <c r="M170" s="185"/>
      <c r="N170" s="185"/>
      <c r="O170" s="185"/>
      <c r="P170" s="185"/>
      <c r="Q170" s="179"/>
    </row>
    <row r="171" spans="2:17" ht="16.5" customHeight="1">
      <c r="E171" s="79" t="s">
        <v>413</v>
      </c>
      <c r="F171" s="180" t="s">
        <v>500</v>
      </c>
      <c r="G171" s="186"/>
      <c r="H171" s="186"/>
      <c r="I171" s="186"/>
      <c r="J171" s="186"/>
      <c r="K171" s="186"/>
      <c r="L171" s="186"/>
      <c r="M171" s="186"/>
      <c r="N171" s="186"/>
      <c r="O171" s="186"/>
      <c r="P171" s="186"/>
      <c r="Q171" s="187"/>
    </row>
    <row r="173" spans="2:17">
      <c r="B173" s="78" t="s">
        <v>393</v>
      </c>
      <c r="C173" s="78" t="s">
        <v>394</v>
      </c>
      <c r="E173" s="79"/>
      <c r="F173" s="79" t="s">
        <v>395</v>
      </c>
      <c r="G173" s="79" t="s">
        <v>396</v>
      </c>
      <c r="H173" s="79" t="s">
        <v>397</v>
      </c>
      <c r="I173" s="79" t="s">
        <v>398</v>
      </c>
      <c r="J173" s="79" t="s">
        <v>399</v>
      </c>
      <c r="K173" s="79" t="s">
        <v>400</v>
      </c>
      <c r="L173" s="79" t="s">
        <v>401</v>
      </c>
      <c r="M173" s="79" t="s">
        <v>402</v>
      </c>
      <c r="N173" s="79" t="s">
        <v>403</v>
      </c>
      <c r="O173" s="79" t="s">
        <v>404</v>
      </c>
      <c r="P173" s="79" t="s">
        <v>405</v>
      </c>
      <c r="Q173" s="79" t="s">
        <v>406</v>
      </c>
    </row>
    <row r="174" spans="2:17" ht="17.25" customHeight="1">
      <c r="B174" s="80" t="s">
        <v>501</v>
      </c>
      <c r="C174" s="80" t="s">
        <v>502</v>
      </c>
      <c r="E174" s="79" t="s">
        <v>408</v>
      </c>
      <c r="F174" s="81" t="s">
        <v>244</v>
      </c>
      <c r="G174" s="81" t="s">
        <v>244</v>
      </c>
      <c r="H174" s="171" t="s">
        <v>503</v>
      </c>
      <c r="I174" s="185"/>
      <c r="J174" s="185"/>
      <c r="K174" s="185"/>
      <c r="L174" s="185"/>
      <c r="M174" s="185"/>
      <c r="N174" s="185"/>
      <c r="O174" s="185"/>
      <c r="P174" s="185"/>
      <c r="Q174" s="179"/>
    </row>
    <row r="175" spans="2:17">
      <c r="E175" s="79" t="s">
        <v>409</v>
      </c>
      <c r="F175" s="171" t="s">
        <v>504</v>
      </c>
      <c r="G175" s="185"/>
      <c r="H175" s="185"/>
      <c r="I175" s="185"/>
      <c r="J175" s="185"/>
      <c r="K175" s="185"/>
      <c r="L175" s="185"/>
      <c r="M175" s="185"/>
      <c r="N175" s="185"/>
      <c r="O175" s="185"/>
      <c r="P175" s="185"/>
      <c r="Q175" s="179"/>
    </row>
    <row r="176" spans="2:17">
      <c r="E176" s="79" t="s">
        <v>386</v>
      </c>
      <c r="F176" s="171" t="s">
        <v>411</v>
      </c>
      <c r="G176" s="185"/>
      <c r="H176" s="185"/>
      <c r="I176" s="185"/>
      <c r="J176" s="185"/>
      <c r="K176" s="185"/>
      <c r="L176" s="185"/>
      <c r="M176" s="185"/>
      <c r="N176" s="185"/>
      <c r="O176" s="185"/>
      <c r="P176" s="185"/>
      <c r="Q176" s="179"/>
    </row>
    <row r="177" spans="2:17">
      <c r="E177" s="79" t="s">
        <v>389</v>
      </c>
      <c r="F177" s="171" t="s">
        <v>203</v>
      </c>
      <c r="G177" s="185"/>
      <c r="H177" s="185"/>
      <c r="I177" s="185"/>
      <c r="J177" s="185"/>
      <c r="K177" s="185"/>
      <c r="L177" s="185"/>
      <c r="M177" s="185"/>
      <c r="N177" s="185"/>
      <c r="O177" s="185"/>
      <c r="P177" s="185"/>
      <c r="Q177" s="179"/>
    </row>
    <row r="178" spans="2:17" ht="16.5" customHeight="1">
      <c r="E178" s="79" t="s">
        <v>413</v>
      </c>
      <c r="F178" s="180" t="s">
        <v>505</v>
      </c>
      <c r="G178" s="186"/>
      <c r="H178" s="186"/>
      <c r="I178" s="186"/>
      <c r="J178" s="186"/>
      <c r="K178" s="186"/>
      <c r="L178" s="186"/>
      <c r="M178" s="186"/>
      <c r="N178" s="186"/>
      <c r="O178" s="186"/>
      <c r="P178" s="186"/>
      <c r="Q178" s="187"/>
    </row>
    <row r="180" spans="2:17">
      <c r="B180" s="78" t="s">
        <v>393</v>
      </c>
      <c r="C180" s="78" t="s">
        <v>394</v>
      </c>
      <c r="E180" s="79"/>
      <c r="F180" s="79" t="s">
        <v>395</v>
      </c>
      <c r="G180" s="79" t="s">
        <v>396</v>
      </c>
      <c r="H180" s="79" t="s">
        <v>397</v>
      </c>
      <c r="I180" s="79" t="s">
        <v>398</v>
      </c>
      <c r="J180" s="79" t="s">
        <v>399</v>
      </c>
      <c r="K180" s="79" t="s">
        <v>400</v>
      </c>
      <c r="L180" s="79" t="s">
        <v>401</v>
      </c>
      <c r="M180" s="79" t="s">
        <v>402</v>
      </c>
      <c r="N180" s="79" t="s">
        <v>403</v>
      </c>
      <c r="O180" s="79" t="s">
        <v>404</v>
      </c>
      <c r="P180" s="79" t="s">
        <v>405</v>
      </c>
      <c r="Q180" s="79" t="s">
        <v>406</v>
      </c>
    </row>
    <row r="181" spans="2:17" ht="17.25" customHeight="1">
      <c r="B181" s="80" t="s">
        <v>506</v>
      </c>
      <c r="C181" s="80" t="s">
        <v>507</v>
      </c>
      <c r="E181" s="79" t="s">
        <v>408</v>
      </c>
      <c r="F181" s="81" t="s">
        <v>244</v>
      </c>
      <c r="G181" s="81" t="s">
        <v>244</v>
      </c>
      <c r="H181" s="171" t="s">
        <v>508</v>
      </c>
      <c r="I181" s="185"/>
      <c r="J181" s="185"/>
      <c r="K181" s="185"/>
      <c r="L181" s="185"/>
      <c r="M181" s="185"/>
      <c r="N181" s="185"/>
      <c r="O181" s="185"/>
      <c r="P181" s="185"/>
      <c r="Q181" s="179"/>
    </row>
    <row r="182" spans="2:17">
      <c r="E182" s="79" t="s">
        <v>409</v>
      </c>
      <c r="F182" s="171" t="s">
        <v>509</v>
      </c>
      <c r="G182" s="185"/>
      <c r="H182" s="185"/>
      <c r="I182" s="185"/>
      <c r="J182" s="185"/>
      <c r="K182" s="185"/>
      <c r="L182" s="185"/>
      <c r="M182" s="185"/>
      <c r="N182" s="185"/>
      <c r="O182" s="185"/>
      <c r="P182" s="185"/>
      <c r="Q182" s="179"/>
    </row>
    <row r="183" spans="2:17">
      <c r="E183" s="79" t="s">
        <v>386</v>
      </c>
      <c r="F183" s="171" t="s">
        <v>411</v>
      </c>
      <c r="G183" s="185"/>
      <c r="H183" s="185"/>
      <c r="I183" s="185"/>
      <c r="J183" s="185"/>
      <c r="K183" s="185"/>
      <c r="L183" s="185"/>
      <c r="M183" s="185"/>
      <c r="N183" s="185"/>
      <c r="O183" s="185"/>
      <c r="P183" s="185"/>
      <c r="Q183" s="179"/>
    </row>
    <row r="184" spans="2:17">
      <c r="E184" s="79" t="s">
        <v>389</v>
      </c>
      <c r="F184" s="171" t="s">
        <v>203</v>
      </c>
      <c r="G184" s="185"/>
      <c r="H184" s="185"/>
      <c r="I184" s="185"/>
      <c r="J184" s="185"/>
      <c r="K184" s="185"/>
      <c r="L184" s="185"/>
      <c r="M184" s="185"/>
      <c r="N184" s="185"/>
      <c r="O184" s="185"/>
      <c r="P184" s="185"/>
      <c r="Q184" s="179"/>
    </row>
    <row r="185" spans="2:17" ht="16.5" customHeight="1">
      <c r="E185" s="79" t="s">
        <v>413</v>
      </c>
      <c r="F185" s="180" t="s">
        <v>510</v>
      </c>
      <c r="G185" s="186"/>
      <c r="H185" s="186"/>
      <c r="I185" s="186"/>
      <c r="J185" s="186"/>
      <c r="K185" s="186"/>
      <c r="L185" s="186"/>
      <c r="M185" s="186"/>
      <c r="N185" s="186"/>
      <c r="O185" s="186"/>
      <c r="P185" s="186"/>
      <c r="Q185" s="187"/>
    </row>
    <row r="187" spans="2:17">
      <c r="B187" s="78" t="s">
        <v>393</v>
      </c>
      <c r="C187" s="78" t="s">
        <v>394</v>
      </c>
      <c r="E187" s="79"/>
      <c r="F187" s="79" t="s">
        <v>395</v>
      </c>
      <c r="G187" s="79" t="s">
        <v>396</v>
      </c>
      <c r="H187" s="79" t="s">
        <v>397</v>
      </c>
      <c r="I187" s="79" t="s">
        <v>398</v>
      </c>
      <c r="J187" s="79" t="s">
        <v>399</v>
      </c>
      <c r="K187" s="79" t="s">
        <v>400</v>
      </c>
      <c r="L187" s="79" t="s">
        <v>401</v>
      </c>
      <c r="M187" s="79" t="s">
        <v>402</v>
      </c>
      <c r="N187" s="79" t="s">
        <v>403</v>
      </c>
      <c r="O187" s="79" t="s">
        <v>404</v>
      </c>
      <c r="P187" s="79" t="s">
        <v>405</v>
      </c>
      <c r="Q187" s="79" t="s">
        <v>406</v>
      </c>
    </row>
    <row r="188" spans="2:17" ht="17.25" customHeight="1">
      <c r="B188" s="80" t="s">
        <v>511</v>
      </c>
      <c r="C188" s="80" t="s">
        <v>512</v>
      </c>
      <c r="E188" s="79" t="s">
        <v>408</v>
      </c>
      <c r="F188" s="81" t="s">
        <v>244</v>
      </c>
      <c r="G188" s="81" t="s">
        <v>244</v>
      </c>
      <c r="H188" s="171" t="s">
        <v>513</v>
      </c>
      <c r="I188" s="185"/>
      <c r="J188" s="185"/>
      <c r="K188" s="185"/>
      <c r="L188" s="185"/>
      <c r="M188" s="185"/>
      <c r="N188" s="185"/>
      <c r="O188" s="185"/>
      <c r="P188" s="185"/>
      <c r="Q188" s="179"/>
    </row>
    <row r="189" spans="2:17">
      <c r="E189" s="79" t="s">
        <v>409</v>
      </c>
      <c r="F189" s="171" t="s">
        <v>514</v>
      </c>
      <c r="G189" s="185"/>
      <c r="H189" s="185"/>
      <c r="I189" s="185"/>
      <c r="J189" s="185"/>
      <c r="K189" s="185"/>
      <c r="L189" s="185"/>
      <c r="M189" s="185"/>
      <c r="N189" s="185"/>
      <c r="O189" s="185"/>
      <c r="P189" s="185"/>
      <c r="Q189" s="179"/>
    </row>
    <row r="190" spans="2:17">
      <c r="E190" s="79" t="s">
        <v>386</v>
      </c>
      <c r="F190" s="171" t="s">
        <v>411</v>
      </c>
      <c r="G190" s="185"/>
      <c r="H190" s="185"/>
      <c r="I190" s="185"/>
      <c r="J190" s="185"/>
      <c r="K190" s="185"/>
      <c r="L190" s="185"/>
      <c r="M190" s="185"/>
      <c r="N190" s="185"/>
      <c r="O190" s="185"/>
      <c r="P190" s="185"/>
      <c r="Q190" s="179"/>
    </row>
    <row r="191" spans="2:17">
      <c r="E191" s="79" t="s">
        <v>389</v>
      </c>
      <c r="F191" s="171" t="s">
        <v>203</v>
      </c>
      <c r="G191" s="185"/>
      <c r="H191" s="185"/>
      <c r="I191" s="185"/>
      <c r="J191" s="185"/>
      <c r="K191" s="185"/>
      <c r="L191" s="185"/>
      <c r="M191" s="185"/>
      <c r="N191" s="185"/>
      <c r="O191" s="185"/>
      <c r="P191" s="185"/>
      <c r="Q191" s="179"/>
    </row>
    <row r="192" spans="2:17" ht="16.5" customHeight="1">
      <c r="E192" s="79" t="s">
        <v>413</v>
      </c>
      <c r="F192" s="180" t="s">
        <v>515</v>
      </c>
      <c r="G192" s="186"/>
      <c r="H192" s="186"/>
      <c r="I192" s="186"/>
      <c r="J192" s="186"/>
      <c r="K192" s="186"/>
      <c r="L192" s="186"/>
      <c r="M192" s="186"/>
      <c r="N192" s="186"/>
      <c r="O192" s="186"/>
      <c r="P192" s="186"/>
      <c r="Q192" s="187"/>
    </row>
    <row r="194" spans="2:17">
      <c r="B194" s="78" t="s">
        <v>393</v>
      </c>
      <c r="C194" s="78" t="s">
        <v>394</v>
      </c>
      <c r="E194" s="79"/>
      <c r="F194" s="79" t="s">
        <v>395</v>
      </c>
      <c r="G194" s="79" t="s">
        <v>396</v>
      </c>
      <c r="H194" s="79" t="s">
        <v>397</v>
      </c>
      <c r="I194" s="79" t="s">
        <v>398</v>
      </c>
      <c r="J194" s="79" t="s">
        <v>399</v>
      </c>
      <c r="K194" s="79" t="s">
        <v>400</v>
      </c>
      <c r="L194" s="79" t="s">
        <v>401</v>
      </c>
      <c r="M194" s="79" t="s">
        <v>402</v>
      </c>
      <c r="N194" s="79" t="s">
        <v>403</v>
      </c>
      <c r="O194" s="79" t="s">
        <v>404</v>
      </c>
      <c r="P194" s="79" t="s">
        <v>405</v>
      </c>
      <c r="Q194" s="79" t="s">
        <v>406</v>
      </c>
    </row>
    <row r="195" spans="2:17" ht="17.25" customHeight="1">
      <c r="B195" s="80" t="s">
        <v>516</v>
      </c>
      <c r="C195" s="80" t="s">
        <v>517</v>
      </c>
      <c r="E195" s="79" t="s">
        <v>408</v>
      </c>
      <c r="F195" s="171" t="s">
        <v>518</v>
      </c>
      <c r="G195" s="185"/>
      <c r="H195" s="185"/>
      <c r="I195" s="185"/>
      <c r="J195" s="185"/>
      <c r="K195" s="185"/>
      <c r="L195" s="185"/>
      <c r="M195" s="185"/>
      <c r="N195" s="185"/>
      <c r="O195" s="185"/>
      <c r="P195" s="185"/>
      <c r="Q195" s="179"/>
    </row>
    <row r="196" spans="2:17">
      <c r="E196" s="79" t="s">
        <v>409</v>
      </c>
      <c r="F196" s="171" t="s">
        <v>519</v>
      </c>
      <c r="G196" s="185"/>
      <c r="H196" s="185"/>
      <c r="I196" s="185"/>
      <c r="J196" s="185"/>
      <c r="K196" s="185"/>
      <c r="L196" s="185"/>
      <c r="M196" s="185"/>
      <c r="N196" s="185"/>
      <c r="O196" s="185"/>
      <c r="P196" s="185"/>
      <c r="Q196" s="179"/>
    </row>
    <row r="197" spans="2:17">
      <c r="E197" s="79" t="s">
        <v>386</v>
      </c>
      <c r="F197" s="171" t="s">
        <v>411</v>
      </c>
      <c r="G197" s="185"/>
      <c r="H197" s="185"/>
      <c r="I197" s="185"/>
      <c r="J197" s="185"/>
      <c r="K197" s="185"/>
      <c r="L197" s="185"/>
      <c r="M197" s="185"/>
      <c r="N197" s="185"/>
      <c r="O197" s="185"/>
      <c r="P197" s="185"/>
      <c r="Q197" s="179"/>
    </row>
    <row r="198" spans="2:17">
      <c r="E198" s="79" t="s">
        <v>389</v>
      </c>
      <c r="F198" s="171" t="s">
        <v>203</v>
      </c>
      <c r="G198" s="185"/>
      <c r="H198" s="185"/>
      <c r="I198" s="185"/>
      <c r="J198" s="185"/>
      <c r="K198" s="185"/>
      <c r="L198" s="185"/>
      <c r="M198" s="185"/>
      <c r="N198" s="185"/>
      <c r="O198" s="185"/>
      <c r="P198" s="185"/>
      <c r="Q198" s="179"/>
    </row>
    <row r="199" spans="2:17" ht="16.5" customHeight="1">
      <c r="E199" s="79" t="s">
        <v>413</v>
      </c>
      <c r="F199" s="180" t="s">
        <v>520</v>
      </c>
      <c r="G199" s="186"/>
      <c r="H199" s="186"/>
      <c r="I199" s="186"/>
      <c r="J199" s="186"/>
      <c r="K199" s="186"/>
      <c r="L199" s="186"/>
      <c r="M199" s="186"/>
      <c r="N199" s="186"/>
      <c r="O199" s="186"/>
      <c r="P199" s="186"/>
      <c r="Q199" s="187"/>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29"/>
  <sheetViews>
    <sheetView showGridLines="0" topLeftCell="A14" zoomScale="85" zoomScaleNormal="85" workbookViewId="0">
      <selection activeCell="N29" sqref="N29"/>
    </sheetView>
  </sheetViews>
  <sheetFormatPr defaultColWidth="9" defaultRowHeight="17" customHeight="1"/>
  <cols>
    <col min="1" max="1" width="2.5625" style="4" customWidth="1"/>
    <col min="2" max="2" width="13.4375" style="12" bestFit="1" customWidth="1"/>
    <col min="3" max="3" width="4.3125" style="12" bestFit="1" customWidth="1"/>
    <col min="4" max="4" width="14.9375" style="4" bestFit="1" customWidth="1"/>
    <col min="5" max="5" width="5.0625" style="4" bestFit="1" customWidth="1"/>
    <col min="6" max="6" width="4.5625" style="4" bestFit="1" customWidth="1"/>
    <col min="7" max="10" width="5.5625" style="4" bestFit="1" customWidth="1"/>
    <col min="11" max="12" width="8.9375" style="4" bestFit="1" customWidth="1"/>
    <col min="13" max="13" width="12.8125" style="4" bestFit="1" customWidth="1"/>
    <col min="14" max="14" width="7.8125" style="4" bestFit="1" customWidth="1"/>
    <col min="15" max="19" width="5.8125" style="4" bestFit="1" customWidth="1"/>
    <col min="20" max="20" width="13.9375" style="4" bestFit="1" customWidth="1"/>
    <col min="21" max="21" width="14.0625" style="4" bestFit="1" customWidth="1"/>
    <col min="22" max="22" width="13.9375" style="4" bestFit="1" customWidth="1"/>
    <col min="23" max="23" width="14.4375" style="4" bestFit="1" customWidth="1"/>
    <col min="24" max="24" width="8.5625" style="4" customWidth="1"/>
    <col min="25" max="25" width="2.5625" style="4" customWidth="1"/>
    <col min="26" max="16384" width="9" style="4"/>
  </cols>
  <sheetData>
    <row r="1" spans="1:24" ht="17" customHeight="1">
      <c r="A1"/>
    </row>
    <row r="2" spans="1:24" ht="23.25">
      <c r="B2" s="2" t="s">
        <v>29</v>
      </c>
      <c r="C2" s="2" t="s">
        <v>621</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4" ht="13.15">
      <c r="B3" s="13"/>
      <c r="C3" s="13"/>
      <c r="D3" s="13"/>
      <c r="E3" s="14"/>
      <c r="F3" s="14"/>
      <c r="G3" s="164" t="s">
        <v>52</v>
      </c>
      <c r="H3" s="164"/>
      <c r="I3" s="164"/>
      <c r="J3" s="164"/>
      <c r="K3" s="14"/>
      <c r="L3" s="14"/>
      <c r="M3" s="14"/>
      <c r="N3" s="14"/>
      <c r="O3" s="13"/>
      <c r="P3" s="13"/>
      <c r="Q3" s="13"/>
      <c r="R3" s="13"/>
      <c r="S3" s="13"/>
      <c r="T3" s="13"/>
      <c r="U3" s="13"/>
      <c r="V3" s="13"/>
      <c r="W3" s="14"/>
      <c r="X3" s="14"/>
    </row>
    <row r="4" spans="1:24" ht="17" customHeight="1">
      <c r="B4" s="15" t="s">
        <v>199</v>
      </c>
      <c r="C4" s="15"/>
    </row>
    <row r="5" spans="1:24" ht="17" customHeight="1">
      <c r="B5" s="5" t="s">
        <v>200</v>
      </c>
      <c r="C5" s="5">
        <v>224</v>
      </c>
      <c r="D5" s="5" t="s">
        <v>201</v>
      </c>
      <c r="E5" s="5" t="s">
        <v>202</v>
      </c>
      <c r="F5" s="5" t="s">
        <v>203</v>
      </c>
      <c r="G5" s="6" t="s">
        <v>65</v>
      </c>
      <c r="H5" s="6" t="s">
        <v>65</v>
      </c>
      <c r="I5" s="6" t="s">
        <v>65</v>
      </c>
      <c r="J5" s="6" t="s">
        <v>65</v>
      </c>
      <c r="K5" s="8" t="s">
        <v>204</v>
      </c>
      <c r="L5" s="8" t="s">
        <v>205</v>
      </c>
      <c r="M5" s="8" t="s">
        <v>206</v>
      </c>
      <c r="N5" s="190" t="s">
        <v>207</v>
      </c>
      <c r="O5" s="191"/>
      <c r="P5" s="192"/>
      <c r="Q5" s="190" t="s">
        <v>208</v>
      </c>
      <c r="R5" s="191"/>
      <c r="S5" s="192"/>
      <c r="T5" s="8" t="s">
        <v>209</v>
      </c>
      <c r="U5" s="8" t="s">
        <v>210</v>
      </c>
      <c r="V5" s="8" t="s">
        <v>211</v>
      </c>
      <c r="W5" s="9" t="s">
        <v>70</v>
      </c>
      <c r="X5" s="5" t="str">
        <f>_xlfn.CONCAT("0x",BIN2HEX(MID(W5,1,4),1),BIN2HEX(MID(W5,6,4),1),BIN2HEX(MID(W5,11,4),1))</f>
        <v>0x000</v>
      </c>
    </row>
    <row r="6" spans="1:24" ht="17" customHeight="1">
      <c r="B6" s="5" t="s">
        <v>212</v>
      </c>
      <c r="C6" s="5">
        <v>225</v>
      </c>
      <c r="D6" s="5" t="s">
        <v>213</v>
      </c>
      <c r="E6" s="5" t="s">
        <v>202</v>
      </c>
      <c r="F6" s="5" t="s">
        <v>203</v>
      </c>
      <c r="G6" s="6" t="s">
        <v>65</v>
      </c>
      <c r="H6" s="6" t="s">
        <v>65</v>
      </c>
      <c r="I6" s="6" t="s">
        <v>65</v>
      </c>
      <c r="J6" s="6" t="s">
        <v>65</v>
      </c>
      <c r="K6" s="8" t="s">
        <v>214</v>
      </c>
      <c r="L6" s="8" t="s">
        <v>215</v>
      </c>
      <c r="M6" s="8" t="s">
        <v>216</v>
      </c>
      <c r="N6" s="8" t="s">
        <v>217</v>
      </c>
      <c r="O6" s="160" t="s">
        <v>218</v>
      </c>
      <c r="P6" s="160"/>
      <c r="Q6" s="160"/>
      <c r="R6" s="160"/>
      <c r="S6" s="193" t="s">
        <v>698</v>
      </c>
      <c r="T6" s="193"/>
      <c r="U6" s="193"/>
      <c r="V6" s="193"/>
      <c r="W6" s="9" t="s">
        <v>219</v>
      </c>
      <c r="X6" s="5" t="str">
        <f>_xlfn.CONCAT("0x",BIN2HEX(MID(W6,1,4),1),BIN2HEX(MID(W6,6,4),1),BIN2HEX(MID(W6,11,4),1))</f>
        <v>0x040</v>
      </c>
    </row>
    <row r="7" spans="1:24" ht="17" customHeight="1">
      <c r="B7" s="5" t="s">
        <v>220</v>
      </c>
      <c r="C7" s="5">
        <v>226</v>
      </c>
      <c r="D7" s="5" t="s">
        <v>221</v>
      </c>
      <c r="E7" s="5" t="s">
        <v>202</v>
      </c>
      <c r="F7" s="5" t="s">
        <v>203</v>
      </c>
      <c r="G7" s="6" t="s">
        <v>65</v>
      </c>
      <c r="H7" s="6" t="s">
        <v>65</v>
      </c>
      <c r="I7" s="6" t="s">
        <v>65</v>
      </c>
      <c r="J7" s="6" t="s">
        <v>65</v>
      </c>
      <c r="K7" s="160" t="s">
        <v>222</v>
      </c>
      <c r="L7" s="160"/>
      <c r="M7" s="160"/>
      <c r="N7" s="160"/>
      <c r="O7" s="160"/>
      <c r="P7" s="160"/>
      <c r="Q7" s="160"/>
      <c r="R7" s="160"/>
      <c r="S7" s="160"/>
      <c r="T7" s="160"/>
      <c r="U7" s="160"/>
      <c r="V7" s="160"/>
      <c r="W7" s="9" t="s">
        <v>223</v>
      </c>
      <c r="X7" s="5" t="str">
        <f>_xlfn.CONCAT("0x",BIN2HEX(MID(W7,1,4),1),BIN2HEX(MID(W7,6,4),1),BIN2HEX(MID(W7,11,4),1))</f>
        <v>0x140</v>
      </c>
    </row>
    <row r="8" spans="1:24" ht="17" customHeight="1">
      <c r="B8" s="5" t="s">
        <v>224</v>
      </c>
      <c r="C8" s="5">
        <v>227</v>
      </c>
      <c r="D8" s="5" t="s">
        <v>225</v>
      </c>
      <c r="E8" s="5" t="s">
        <v>202</v>
      </c>
      <c r="F8" s="5" t="s">
        <v>203</v>
      </c>
      <c r="G8" s="6" t="s">
        <v>65</v>
      </c>
      <c r="H8" s="6" t="s">
        <v>65</v>
      </c>
      <c r="I8" s="6" t="s">
        <v>65</v>
      </c>
      <c r="J8" s="6" t="s">
        <v>65</v>
      </c>
      <c r="K8" s="160" t="s">
        <v>226</v>
      </c>
      <c r="L8" s="160"/>
      <c r="M8" s="160"/>
      <c r="N8" s="160"/>
      <c r="O8" s="160"/>
      <c r="P8" s="160"/>
      <c r="Q8" s="160"/>
      <c r="R8" s="160"/>
      <c r="S8" s="160"/>
      <c r="T8" s="160"/>
      <c r="U8" s="160"/>
      <c r="V8" s="160"/>
      <c r="W8" s="9" t="s">
        <v>227</v>
      </c>
      <c r="X8" s="5" t="str">
        <f>_xlfn.CONCAT("0x",BIN2HEX(MID(W8,1,4),1),BIN2HEX(MID(W8,6,4),1),BIN2HEX(MID(W8,11,4),1))</f>
        <v>0x5A5</v>
      </c>
    </row>
    <row r="9" spans="1:24" ht="17" customHeight="1">
      <c r="B9" s="15" t="s">
        <v>228</v>
      </c>
      <c r="C9" s="15"/>
    </row>
    <row r="10" spans="1:24" ht="17" customHeight="1">
      <c r="B10" s="5" t="s">
        <v>229</v>
      </c>
      <c r="C10" s="5">
        <v>228</v>
      </c>
      <c r="D10" s="5" t="s">
        <v>230</v>
      </c>
      <c r="E10" s="5" t="s">
        <v>202</v>
      </c>
      <c r="F10" s="5" t="s">
        <v>203</v>
      </c>
      <c r="G10" s="6" t="s">
        <v>65</v>
      </c>
      <c r="H10" s="6" t="s">
        <v>65</v>
      </c>
      <c r="I10" s="6" t="s">
        <v>65</v>
      </c>
      <c r="J10" s="6" t="s">
        <v>65</v>
      </c>
      <c r="K10" s="194" t="s">
        <v>231</v>
      </c>
      <c r="L10" s="194"/>
      <c r="M10" s="194"/>
      <c r="N10" s="194" t="s">
        <v>232</v>
      </c>
      <c r="O10" s="194"/>
      <c r="P10" s="194"/>
      <c r="Q10" s="194" t="s">
        <v>233</v>
      </c>
      <c r="R10" s="194"/>
      <c r="S10" s="194"/>
      <c r="T10" s="194"/>
      <c r="U10" s="194"/>
      <c r="V10" s="194"/>
      <c r="W10" s="9" t="s">
        <v>234</v>
      </c>
      <c r="X10" s="5" t="str">
        <f t="shared" ref="X10:X24" si="0">_xlfn.CONCAT("0x",BIN2HEX(MID(W10,1,4),1),BIN2HEX(MID(W10,6,4),1),BIN2HEX(MID(W10,11,4),1))</f>
        <v>0x020</v>
      </c>
    </row>
    <row r="11" spans="1:24" ht="17" customHeight="1">
      <c r="B11" s="5" t="s">
        <v>235</v>
      </c>
      <c r="C11" s="5">
        <v>229</v>
      </c>
      <c r="D11" s="5" t="s">
        <v>236</v>
      </c>
      <c r="E11" s="5" t="s">
        <v>202</v>
      </c>
      <c r="F11" s="5" t="s">
        <v>203</v>
      </c>
      <c r="G11" s="6" t="s">
        <v>65</v>
      </c>
      <c r="H11" s="6" t="s">
        <v>65</v>
      </c>
      <c r="I11" s="6" t="s">
        <v>65</v>
      </c>
      <c r="J11" s="6" t="s">
        <v>65</v>
      </c>
      <c r="K11" s="194" t="s">
        <v>237</v>
      </c>
      <c r="L11" s="194"/>
      <c r="M11" s="195" t="s">
        <v>238</v>
      </c>
      <c r="N11" s="196"/>
      <c r="O11" s="194" t="s">
        <v>239</v>
      </c>
      <c r="P11" s="194"/>
      <c r="Q11" s="194"/>
      <c r="R11" s="194" t="s">
        <v>240</v>
      </c>
      <c r="S11" s="194"/>
      <c r="T11" s="194"/>
      <c r="U11" s="194"/>
      <c r="V11" s="194"/>
      <c r="W11" s="9" t="s">
        <v>241</v>
      </c>
      <c r="X11" s="5" t="str">
        <f t="shared" si="0"/>
        <v>0x010</v>
      </c>
    </row>
    <row r="12" spans="1:24" ht="17" customHeight="1">
      <c r="B12" s="5" t="s">
        <v>242</v>
      </c>
      <c r="C12" s="5">
        <v>230</v>
      </c>
      <c r="D12" s="5" t="s">
        <v>243</v>
      </c>
      <c r="E12" s="5" t="s">
        <v>202</v>
      </c>
      <c r="F12" s="5" t="s">
        <v>203</v>
      </c>
      <c r="G12" s="6" t="s">
        <v>65</v>
      </c>
      <c r="H12" s="6" t="s">
        <v>65</v>
      </c>
      <c r="I12" s="6" t="s">
        <v>65</v>
      </c>
      <c r="J12" s="6" t="s">
        <v>65</v>
      </c>
      <c r="K12" s="7" t="s">
        <v>244</v>
      </c>
      <c r="L12" s="7" t="s">
        <v>244</v>
      </c>
      <c r="M12" s="197" t="s">
        <v>245</v>
      </c>
      <c r="N12" s="198"/>
      <c r="O12" s="198"/>
      <c r="P12" s="198"/>
      <c r="Q12" s="198"/>
      <c r="R12" s="199"/>
      <c r="S12" s="197" t="s">
        <v>246</v>
      </c>
      <c r="T12" s="198"/>
      <c r="U12" s="198"/>
      <c r="V12" s="199"/>
      <c r="W12" s="9" t="s">
        <v>247</v>
      </c>
      <c r="X12" s="5" t="str">
        <f t="shared" si="0"/>
        <v>0x208</v>
      </c>
    </row>
    <row r="13" spans="1:24" ht="17" customHeight="1">
      <c r="B13" s="5" t="s">
        <v>248</v>
      </c>
      <c r="C13" s="5">
        <v>231</v>
      </c>
      <c r="D13" s="5" t="s">
        <v>249</v>
      </c>
      <c r="E13" s="5" t="s">
        <v>202</v>
      </c>
      <c r="F13" s="5" t="s">
        <v>203</v>
      </c>
      <c r="G13" s="6" t="s">
        <v>65</v>
      </c>
      <c r="H13" s="6" t="s">
        <v>65</v>
      </c>
      <c r="I13" s="6" t="s">
        <v>65</v>
      </c>
      <c r="J13" s="6" t="s">
        <v>65</v>
      </c>
      <c r="K13" s="194" t="s">
        <v>250</v>
      </c>
      <c r="L13" s="194"/>
      <c r="M13" s="194"/>
      <c r="N13" s="194"/>
      <c r="O13" s="194"/>
      <c r="P13" s="194"/>
      <c r="Q13" s="194"/>
      <c r="R13" s="194"/>
      <c r="S13" s="197" t="s">
        <v>251</v>
      </c>
      <c r="T13" s="198"/>
      <c r="U13" s="198"/>
      <c r="V13" s="199"/>
      <c r="W13" s="9" t="s">
        <v>252</v>
      </c>
      <c r="X13" s="5" t="str">
        <f t="shared" si="0"/>
        <v>0x008</v>
      </c>
    </row>
    <row r="14" spans="1:24" ht="17" customHeight="1">
      <c r="B14" s="5" t="s">
        <v>253</v>
      </c>
      <c r="C14" s="5">
        <v>232</v>
      </c>
      <c r="D14" s="5" t="s">
        <v>254</v>
      </c>
      <c r="E14" s="5" t="s">
        <v>202</v>
      </c>
      <c r="F14" s="5" t="s">
        <v>203</v>
      </c>
      <c r="G14" s="6" t="s">
        <v>65</v>
      </c>
      <c r="H14" s="6" t="s">
        <v>65</v>
      </c>
      <c r="I14" s="6" t="s">
        <v>65</v>
      </c>
      <c r="J14" s="6" t="s">
        <v>65</v>
      </c>
      <c r="K14" s="16" t="s">
        <v>66</v>
      </c>
      <c r="L14" s="16" t="s">
        <v>66</v>
      </c>
      <c r="M14" s="16" t="s">
        <v>66</v>
      </c>
      <c r="N14" s="16" t="s">
        <v>66</v>
      </c>
      <c r="O14" s="16" t="s">
        <v>66</v>
      </c>
      <c r="P14" s="16" t="s">
        <v>66</v>
      </c>
      <c r="Q14" s="16" t="s">
        <v>66</v>
      </c>
      <c r="R14" s="16" t="s">
        <v>66</v>
      </c>
      <c r="S14" s="16" t="s">
        <v>66</v>
      </c>
      <c r="T14" s="16" t="s">
        <v>66</v>
      </c>
      <c r="U14" s="16" t="s">
        <v>66</v>
      </c>
      <c r="V14" s="16" t="s">
        <v>66</v>
      </c>
      <c r="W14" s="9" t="s">
        <v>256</v>
      </c>
      <c r="X14" s="5" t="str">
        <f t="shared" si="0"/>
        <v>0x000</v>
      </c>
    </row>
    <row r="15" spans="1:24" ht="17" customHeight="1">
      <c r="B15" s="5" t="s">
        <v>257</v>
      </c>
      <c r="C15" s="5">
        <v>233</v>
      </c>
      <c r="D15" s="5" t="s">
        <v>258</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256</v>
      </c>
      <c r="X15" s="5" t="str">
        <f t="shared" si="0"/>
        <v>0x000</v>
      </c>
    </row>
    <row r="16" spans="1:24" ht="17" customHeight="1">
      <c r="B16" s="5" t="s">
        <v>259</v>
      </c>
      <c r="C16" s="5">
        <v>234</v>
      </c>
      <c r="D16" s="5" t="s">
        <v>260</v>
      </c>
      <c r="E16" s="5" t="s">
        <v>202</v>
      </c>
      <c r="F16" s="5" t="s">
        <v>203</v>
      </c>
      <c r="G16" s="6" t="s">
        <v>65</v>
      </c>
      <c r="H16" s="6" t="s">
        <v>65</v>
      </c>
      <c r="I16" s="6" t="s">
        <v>65</v>
      </c>
      <c r="J16" s="6" t="s">
        <v>65</v>
      </c>
      <c r="K16" s="7" t="s">
        <v>244</v>
      </c>
      <c r="L16" s="7" t="s">
        <v>244</v>
      </c>
      <c r="M16" s="7" t="s">
        <v>244</v>
      </c>
      <c r="N16" s="197" t="s">
        <v>261</v>
      </c>
      <c r="O16" s="198"/>
      <c r="P16" s="198"/>
      <c r="Q16" s="198"/>
      <c r="R16" s="198"/>
      <c r="S16" s="198"/>
      <c r="T16" s="198"/>
      <c r="U16" s="198"/>
      <c r="V16" s="199"/>
      <c r="W16" s="9" t="s">
        <v>256</v>
      </c>
      <c r="X16" s="5" t="str">
        <f t="shared" si="0"/>
        <v>0x000</v>
      </c>
    </row>
    <row r="17" spans="2:24" ht="17" customHeight="1">
      <c r="B17" s="5" t="s">
        <v>262</v>
      </c>
      <c r="C17" s="5">
        <v>235</v>
      </c>
      <c r="D17" s="5" t="s">
        <v>263</v>
      </c>
      <c r="E17" s="5" t="s">
        <v>202</v>
      </c>
      <c r="F17" s="5" t="s">
        <v>203</v>
      </c>
      <c r="G17" s="6" t="s">
        <v>65</v>
      </c>
      <c r="H17" s="6" t="s">
        <v>65</v>
      </c>
      <c r="I17" s="6" t="s">
        <v>65</v>
      </c>
      <c r="J17" s="6" t="s">
        <v>65</v>
      </c>
      <c r="K17" s="7" t="s">
        <v>244</v>
      </c>
      <c r="L17" s="7" t="s">
        <v>244</v>
      </c>
      <c r="M17" s="7" t="s">
        <v>244</v>
      </c>
      <c r="N17" s="7" t="s">
        <v>244</v>
      </c>
      <c r="O17" s="7" t="s">
        <v>244</v>
      </c>
      <c r="P17" s="7" t="s">
        <v>244</v>
      </c>
      <c r="Q17" s="7" t="s">
        <v>244</v>
      </c>
      <c r="R17" s="194" t="s">
        <v>264</v>
      </c>
      <c r="S17" s="194"/>
      <c r="T17" s="194"/>
      <c r="U17" s="194"/>
      <c r="V17" s="194"/>
      <c r="W17" s="9" t="s">
        <v>265</v>
      </c>
      <c r="X17" s="5" t="str">
        <f t="shared" si="0"/>
        <v>0x010</v>
      </c>
    </row>
    <row r="18" spans="2:24" ht="17" customHeight="1">
      <c r="B18" s="5" t="s">
        <v>266</v>
      </c>
      <c r="C18" s="5">
        <v>236</v>
      </c>
      <c r="D18" s="5" t="s">
        <v>267</v>
      </c>
      <c r="E18" s="5" t="s">
        <v>202</v>
      </c>
      <c r="F18" s="5" t="s">
        <v>203</v>
      </c>
      <c r="G18" s="6" t="s">
        <v>65</v>
      </c>
      <c r="H18" s="6" t="s">
        <v>65</v>
      </c>
      <c r="I18" s="6" t="s">
        <v>65</v>
      </c>
      <c r="J18" s="6" t="s">
        <v>65</v>
      </c>
      <c r="K18" s="7" t="s">
        <v>244</v>
      </c>
      <c r="L18" s="7" t="s">
        <v>244</v>
      </c>
      <c r="M18" s="7" t="s">
        <v>244</v>
      </c>
      <c r="N18" s="7" t="s">
        <v>244</v>
      </c>
      <c r="O18" s="194" t="s">
        <v>268</v>
      </c>
      <c r="P18" s="194"/>
      <c r="Q18" s="194"/>
      <c r="R18" s="194"/>
      <c r="S18" s="194"/>
      <c r="T18" s="194"/>
      <c r="U18" s="194"/>
      <c r="V18" s="194"/>
      <c r="W18" s="9" t="s">
        <v>269</v>
      </c>
      <c r="X18" s="5" t="str">
        <f t="shared" si="0"/>
        <v>0x080</v>
      </c>
    </row>
    <row r="19" spans="2:24" ht="17" customHeight="1">
      <c r="B19" s="5" t="s">
        <v>270</v>
      </c>
      <c r="C19" s="5">
        <v>237</v>
      </c>
      <c r="D19" s="5" t="s">
        <v>271</v>
      </c>
      <c r="E19" s="5" t="s">
        <v>202</v>
      </c>
      <c r="F19" s="5" t="s">
        <v>203</v>
      </c>
      <c r="G19" s="6" t="s">
        <v>65</v>
      </c>
      <c r="H19" s="6" t="s">
        <v>65</v>
      </c>
      <c r="I19" s="6" t="s">
        <v>65</v>
      </c>
      <c r="J19" s="6" t="s">
        <v>65</v>
      </c>
      <c r="K19" s="7" t="s">
        <v>244</v>
      </c>
      <c r="L19" s="7" t="s">
        <v>244</v>
      </c>
      <c r="M19" s="7" t="s">
        <v>244</v>
      </c>
      <c r="N19" s="7" t="s">
        <v>244</v>
      </c>
      <c r="O19" s="194" t="s">
        <v>272</v>
      </c>
      <c r="P19" s="194"/>
      <c r="Q19" s="194"/>
      <c r="R19" s="194"/>
      <c r="S19" s="194"/>
      <c r="T19" s="194"/>
      <c r="U19" s="194"/>
      <c r="V19" s="194"/>
      <c r="W19" s="9" t="s">
        <v>269</v>
      </c>
      <c r="X19" s="5" t="str">
        <f t="shared" si="0"/>
        <v>0x080</v>
      </c>
    </row>
    <row r="20" spans="2:24" ht="17" customHeight="1">
      <c r="B20" s="5" t="s">
        <v>273</v>
      </c>
      <c r="C20" s="5">
        <v>238</v>
      </c>
      <c r="D20" s="5" t="s">
        <v>274</v>
      </c>
      <c r="E20" s="5" t="s">
        <v>202</v>
      </c>
      <c r="F20" s="5" t="s">
        <v>203</v>
      </c>
      <c r="G20" s="6" t="s">
        <v>65</v>
      </c>
      <c r="H20" s="6" t="s">
        <v>65</v>
      </c>
      <c r="I20" s="6" t="s">
        <v>65</v>
      </c>
      <c r="J20" s="6" t="s">
        <v>65</v>
      </c>
      <c r="K20" s="7" t="s">
        <v>244</v>
      </c>
      <c r="L20" s="7" t="s">
        <v>244</v>
      </c>
      <c r="M20" s="7" t="s">
        <v>244</v>
      </c>
      <c r="N20" s="7" t="s">
        <v>244</v>
      </c>
      <c r="O20" s="194" t="s">
        <v>275</v>
      </c>
      <c r="P20" s="194"/>
      <c r="Q20" s="194"/>
      <c r="R20" s="194"/>
      <c r="S20" s="194"/>
      <c r="T20" s="194"/>
      <c r="U20" s="194"/>
      <c r="V20" s="194"/>
      <c r="W20" s="9" t="s">
        <v>269</v>
      </c>
      <c r="X20" s="5" t="str">
        <f t="shared" si="0"/>
        <v>0x080</v>
      </c>
    </row>
    <row r="21" spans="2:24" ht="17" customHeight="1">
      <c r="B21" s="5" t="s">
        <v>276</v>
      </c>
      <c r="C21" s="5">
        <v>239</v>
      </c>
      <c r="D21" s="5" t="s">
        <v>277</v>
      </c>
      <c r="E21" s="5" t="s">
        <v>202</v>
      </c>
      <c r="F21" s="5" t="s">
        <v>203</v>
      </c>
      <c r="G21" s="6" t="s">
        <v>65</v>
      </c>
      <c r="H21" s="6" t="s">
        <v>65</v>
      </c>
      <c r="I21" s="6" t="s">
        <v>65</v>
      </c>
      <c r="J21" s="6" t="s">
        <v>65</v>
      </c>
      <c r="K21" s="7" t="s">
        <v>244</v>
      </c>
      <c r="L21" s="7" t="s">
        <v>244</v>
      </c>
      <c r="M21" s="194" t="s">
        <v>278</v>
      </c>
      <c r="N21" s="194"/>
      <c r="O21" s="194"/>
      <c r="P21" s="194"/>
      <c r="Q21" s="194"/>
      <c r="R21" s="194"/>
      <c r="S21" s="194"/>
      <c r="T21" s="194"/>
      <c r="U21" s="194"/>
      <c r="V21" s="194"/>
      <c r="W21" s="9" t="s">
        <v>255</v>
      </c>
      <c r="X21" s="5" t="str">
        <f t="shared" si="0"/>
        <v>0x000</v>
      </c>
    </row>
    <row r="22" spans="2:24" ht="17" customHeight="1">
      <c r="B22" s="5" t="s">
        <v>279</v>
      </c>
      <c r="C22" s="5">
        <v>240</v>
      </c>
      <c r="D22" s="5" t="s">
        <v>280</v>
      </c>
      <c r="E22" s="5" t="s">
        <v>202</v>
      </c>
      <c r="F22" s="5" t="s">
        <v>203</v>
      </c>
      <c r="G22" s="6" t="s">
        <v>65</v>
      </c>
      <c r="H22" s="6" t="s">
        <v>65</v>
      </c>
      <c r="I22" s="6" t="s">
        <v>65</v>
      </c>
      <c r="J22" s="6" t="s">
        <v>65</v>
      </c>
      <c r="K22" s="7" t="s">
        <v>244</v>
      </c>
      <c r="L22" s="7" t="s">
        <v>244</v>
      </c>
      <c r="M22" s="194" t="s">
        <v>281</v>
      </c>
      <c r="N22" s="194"/>
      <c r="O22" s="194"/>
      <c r="P22" s="194"/>
      <c r="Q22" s="194"/>
      <c r="R22" s="194"/>
      <c r="S22" s="194"/>
      <c r="T22" s="194"/>
      <c r="U22" s="194"/>
      <c r="V22" s="194"/>
      <c r="W22" s="9" t="s">
        <v>282</v>
      </c>
      <c r="X22" s="5" t="str">
        <f t="shared" si="0"/>
        <v>0x000</v>
      </c>
    </row>
    <row r="23" spans="2:24" ht="17" customHeight="1">
      <c r="B23" s="15" t="s">
        <v>283</v>
      </c>
      <c r="C23" s="15"/>
    </row>
    <row r="24" spans="2:24" ht="17" customHeight="1">
      <c r="B24" s="5" t="s">
        <v>284</v>
      </c>
      <c r="C24" s="5">
        <v>241</v>
      </c>
      <c r="D24" s="5" t="s">
        <v>285</v>
      </c>
      <c r="E24" s="5" t="s">
        <v>202</v>
      </c>
      <c r="F24" s="5" t="s">
        <v>203</v>
      </c>
      <c r="G24" s="6" t="s">
        <v>65</v>
      </c>
      <c r="H24" s="6" t="s">
        <v>65</v>
      </c>
      <c r="I24" s="6" t="s">
        <v>65</v>
      </c>
      <c r="J24" s="6" t="s">
        <v>65</v>
      </c>
      <c r="K24" s="194" t="s">
        <v>286</v>
      </c>
      <c r="L24" s="194"/>
      <c r="M24" s="194"/>
      <c r="N24" s="194"/>
      <c r="O24" s="194"/>
      <c r="P24" s="194"/>
      <c r="Q24" s="194"/>
      <c r="R24" s="194"/>
      <c r="S24" s="194"/>
      <c r="T24" s="194"/>
      <c r="U24" s="194"/>
      <c r="V24" s="194"/>
      <c r="W24" s="9" t="s">
        <v>255</v>
      </c>
      <c r="X24" s="5" t="str">
        <f t="shared" si="0"/>
        <v>0x000</v>
      </c>
    </row>
    <row r="25" spans="2:24" ht="17" customHeight="1">
      <c r="B25" s="5" t="s">
        <v>287</v>
      </c>
      <c r="C25" s="5">
        <v>242</v>
      </c>
      <c r="D25" s="5" t="s">
        <v>288</v>
      </c>
      <c r="E25" s="5" t="s">
        <v>202</v>
      </c>
      <c r="F25" s="5" t="s">
        <v>203</v>
      </c>
      <c r="G25" s="6" t="s">
        <v>65</v>
      </c>
      <c r="H25" s="6" t="s">
        <v>65</v>
      </c>
      <c r="I25" s="6" t="s">
        <v>65</v>
      </c>
      <c r="J25" s="6" t="s">
        <v>65</v>
      </c>
      <c r="K25" s="194" t="s">
        <v>289</v>
      </c>
      <c r="L25" s="194"/>
      <c r="M25" s="194"/>
      <c r="N25" s="194"/>
      <c r="O25" s="194"/>
      <c r="P25" s="194"/>
      <c r="Q25" s="194"/>
      <c r="R25" s="194"/>
      <c r="S25" s="194"/>
      <c r="T25" s="194"/>
      <c r="U25" s="194"/>
      <c r="V25" s="194"/>
      <c r="W25" s="9" t="s">
        <v>255</v>
      </c>
      <c r="X25" s="5" t="str">
        <f>_xlfn.CONCAT("0x",BIN2HEX(MID(W25,1,4),1),BIN2HEX(MID(W25,6,4),1),BIN2HEX(MID(W25,11,4),1))</f>
        <v>0x000</v>
      </c>
    </row>
    <row r="26" spans="2:24" ht="17" customHeight="1">
      <c r="B26" s="5" t="s">
        <v>290</v>
      </c>
      <c r="C26" s="5">
        <v>243</v>
      </c>
      <c r="D26" s="5" t="s">
        <v>291</v>
      </c>
      <c r="E26" s="5" t="s">
        <v>202</v>
      </c>
      <c r="F26" s="5" t="s">
        <v>203</v>
      </c>
      <c r="G26" s="6" t="s">
        <v>65</v>
      </c>
      <c r="H26" s="6" t="s">
        <v>65</v>
      </c>
      <c r="I26" s="6" t="s">
        <v>65</v>
      </c>
      <c r="J26" s="6" t="s">
        <v>65</v>
      </c>
      <c r="K26" s="194" t="s">
        <v>292</v>
      </c>
      <c r="L26" s="194"/>
      <c r="M26" s="194"/>
      <c r="N26" s="194"/>
      <c r="O26" s="194"/>
      <c r="P26" s="194"/>
      <c r="Q26" s="194"/>
      <c r="R26" s="194"/>
      <c r="S26" s="194"/>
      <c r="T26" s="194"/>
      <c r="U26" s="194"/>
      <c r="V26" s="194"/>
      <c r="W26" s="9" t="s">
        <v>282</v>
      </c>
      <c r="X26" s="5" t="str">
        <f>_xlfn.CONCAT("0x",BIN2HEX(MID(W26,1,4),1),BIN2HEX(MID(W26,6,4),1),BIN2HEX(MID(W26,11,4),1))</f>
        <v>0x000</v>
      </c>
    </row>
    <row r="27" spans="2:24" ht="17" customHeight="1">
      <c r="B27" s="5" t="s">
        <v>293</v>
      </c>
      <c r="C27" s="5">
        <v>244</v>
      </c>
      <c r="D27" s="5" t="s">
        <v>294</v>
      </c>
      <c r="E27" s="5" t="s">
        <v>202</v>
      </c>
      <c r="F27" s="5" t="s">
        <v>203</v>
      </c>
      <c r="G27" s="6" t="s">
        <v>65</v>
      </c>
      <c r="H27" s="6" t="s">
        <v>65</v>
      </c>
      <c r="I27" s="6" t="s">
        <v>65</v>
      </c>
      <c r="J27" s="6" t="s">
        <v>65</v>
      </c>
      <c r="K27" s="16" t="s">
        <v>66</v>
      </c>
      <c r="L27" s="16" t="s">
        <v>66</v>
      </c>
      <c r="M27" s="16" t="s">
        <v>66</v>
      </c>
      <c r="N27" s="16" t="s">
        <v>66</v>
      </c>
      <c r="O27" s="194" t="s">
        <v>295</v>
      </c>
      <c r="P27" s="194"/>
      <c r="Q27" s="194"/>
      <c r="R27" s="194"/>
      <c r="S27" s="194"/>
      <c r="T27" s="194"/>
      <c r="U27" s="194"/>
      <c r="V27" s="194"/>
      <c r="W27" s="9" t="s">
        <v>282</v>
      </c>
      <c r="X27" s="5" t="str">
        <f>_xlfn.CONCAT("0x",BIN2HEX(MID(W27,1,4),1),BIN2HEX(MID(W27,6,4),1),BIN2HEX(MID(W27,11,4),1))</f>
        <v>0x000</v>
      </c>
    </row>
    <row r="28" spans="2:24" ht="17" customHeight="1">
      <c r="B28" s="5" t="s">
        <v>296</v>
      </c>
      <c r="C28" s="5">
        <v>245</v>
      </c>
      <c r="D28" s="5" t="s">
        <v>297</v>
      </c>
      <c r="E28" s="5" t="s">
        <v>202</v>
      </c>
      <c r="F28" s="5" t="s">
        <v>203</v>
      </c>
      <c r="G28" s="6" t="s">
        <v>65</v>
      </c>
      <c r="H28" s="6" t="s">
        <v>65</v>
      </c>
      <c r="I28" s="6" t="s">
        <v>65</v>
      </c>
      <c r="J28" s="6" t="s">
        <v>65</v>
      </c>
      <c r="K28" s="16" t="s">
        <v>66</v>
      </c>
      <c r="L28" s="16" t="s">
        <v>66</v>
      </c>
      <c r="M28" s="16" t="s">
        <v>66</v>
      </c>
      <c r="N28" s="16" t="s">
        <v>66</v>
      </c>
      <c r="O28" s="16" t="s">
        <v>66</v>
      </c>
      <c r="P28" s="16" t="s">
        <v>66</v>
      </c>
      <c r="Q28" s="16" t="s">
        <v>66</v>
      </c>
      <c r="R28" s="16" t="s">
        <v>66</v>
      </c>
      <c r="S28" s="16" t="s">
        <v>66</v>
      </c>
      <c r="T28" s="16" t="s">
        <v>66</v>
      </c>
      <c r="U28" s="16" t="s">
        <v>66</v>
      </c>
      <c r="V28" s="16" t="s">
        <v>66</v>
      </c>
      <c r="W28" s="9" t="s">
        <v>282</v>
      </c>
      <c r="X28" s="5" t="str">
        <f>_xlfn.CONCAT("0x",BIN2HEX(MID(W28,1,4),1),BIN2HEX(MID(W28,6,4),1),BIN2HEX(MID(W28,11,4),1))</f>
        <v>0x000</v>
      </c>
    </row>
    <row r="29" spans="2:24" ht="17" customHeight="1">
      <c r="B29" s="5" t="s">
        <v>298</v>
      </c>
      <c r="C29" s="5">
        <v>246</v>
      </c>
      <c r="D29" s="5" t="s">
        <v>299</v>
      </c>
      <c r="E29" s="5" t="s">
        <v>202</v>
      </c>
      <c r="F29" s="5" t="s">
        <v>203</v>
      </c>
      <c r="G29" s="6" t="s">
        <v>65</v>
      </c>
      <c r="H29" s="6" t="s">
        <v>65</v>
      </c>
      <c r="I29" s="6" t="s">
        <v>65</v>
      </c>
      <c r="J29" s="6" t="s">
        <v>65</v>
      </c>
      <c r="K29" s="7" t="s">
        <v>244</v>
      </c>
      <c r="L29" s="7" t="s">
        <v>244</v>
      </c>
      <c r="M29" s="7" t="s">
        <v>244</v>
      </c>
      <c r="N29" s="7" t="s">
        <v>244</v>
      </c>
      <c r="O29" s="7" t="s">
        <v>244</v>
      </c>
      <c r="P29" s="7" t="s">
        <v>244</v>
      </c>
      <c r="Q29" s="7" t="s">
        <v>244</v>
      </c>
      <c r="R29" s="7" t="s">
        <v>244</v>
      </c>
      <c r="S29" s="16" t="s">
        <v>66</v>
      </c>
      <c r="T29" s="16" t="s">
        <v>66</v>
      </c>
      <c r="U29" s="16" t="s">
        <v>66</v>
      </c>
      <c r="V29" s="16" t="s">
        <v>66</v>
      </c>
      <c r="W29" s="9" t="s">
        <v>282</v>
      </c>
      <c r="X29" s="5" t="str">
        <f>_xlfn.CONCAT("0x",BIN2HEX(MID(W29,1,4),1),BIN2HEX(MID(W29,6,4),1),BIN2HEX(MID(W29,11,4),1))</f>
        <v>0x000</v>
      </c>
    </row>
  </sheetData>
  <mergeCells count="29">
    <mergeCell ref="K25:V25"/>
    <mergeCell ref="K26:V26"/>
    <mergeCell ref="O27:V27"/>
    <mergeCell ref="O18:V18"/>
    <mergeCell ref="O19:V19"/>
    <mergeCell ref="O20:V20"/>
    <mergeCell ref="M21:V21"/>
    <mergeCell ref="M22:V22"/>
    <mergeCell ref="K24:V24"/>
    <mergeCell ref="R17:V17"/>
    <mergeCell ref="K8:V8"/>
    <mergeCell ref="K10:M10"/>
    <mergeCell ref="N10:P10"/>
    <mergeCell ref="Q10:V10"/>
    <mergeCell ref="K11:L11"/>
    <mergeCell ref="M11:N11"/>
    <mergeCell ref="O11:Q11"/>
    <mergeCell ref="R11:V11"/>
    <mergeCell ref="M12:R12"/>
    <mergeCell ref="S12:V12"/>
    <mergeCell ref="K13:R13"/>
    <mergeCell ref="S13:V13"/>
    <mergeCell ref="N16:V16"/>
    <mergeCell ref="K7:V7"/>
    <mergeCell ref="G3:J3"/>
    <mergeCell ref="N5:P5"/>
    <mergeCell ref="Q5:S5"/>
    <mergeCell ref="O6:R6"/>
    <mergeCell ref="S6:V6"/>
  </mergeCells>
  <phoneticPr fontId="4" type="noConversion"/>
  <conditionalFormatting sqref="S22">
    <cfRule type="cellIs" dxfId="2"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6.899999999999999"/>
  <cols>
    <col min="1" max="1" width="2.5625" style="86" customWidth="1"/>
    <col min="2" max="2" width="11.0625" style="85" bestFit="1" customWidth="1"/>
    <col min="3" max="3" width="6.75" style="85" customWidth="1"/>
    <col min="4" max="4" width="5.5625" style="86" customWidth="1"/>
    <col min="5" max="17" width="11.5625" style="87" customWidth="1"/>
    <col min="18" max="16384" width="9" style="86"/>
  </cols>
  <sheetData>
    <row r="2" spans="2:17" ht="17.25" thickBot="1"/>
    <row r="3" spans="2:17">
      <c r="E3" s="206" t="s">
        <v>386</v>
      </c>
      <c r="F3" s="207"/>
      <c r="G3" s="207"/>
      <c r="H3" s="207"/>
      <c r="I3" s="207"/>
      <c r="J3" s="207"/>
      <c r="K3" s="207"/>
      <c r="L3" s="207"/>
      <c r="M3" s="207"/>
      <c r="N3" s="207"/>
      <c r="O3" s="207"/>
      <c r="P3" s="207"/>
      <c r="Q3" s="208"/>
    </row>
    <row r="4" spans="2:17">
      <c r="E4" s="209" t="s">
        <v>387</v>
      </c>
      <c r="F4" s="210"/>
      <c r="G4" s="210"/>
      <c r="H4" s="210"/>
      <c r="I4" s="210"/>
      <c r="J4" s="210"/>
      <c r="K4" s="210"/>
      <c r="L4" s="210"/>
      <c r="M4" s="210"/>
      <c r="N4" s="210"/>
      <c r="O4" s="210"/>
      <c r="P4" s="210"/>
      <c r="Q4" s="211"/>
    </row>
    <row r="5" spans="2:17" ht="17.25" thickBot="1">
      <c r="E5" s="200" t="s">
        <v>388</v>
      </c>
      <c r="F5" s="201"/>
      <c r="G5" s="201"/>
      <c r="H5" s="201"/>
      <c r="I5" s="201"/>
      <c r="J5" s="201"/>
      <c r="K5" s="201"/>
      <c r="L5" s="201"/>
      <c r="M5" s="201"/>
      <c r="N5" s="201"/>
      <c r="O5" s="201"/>
      <c r="P5" s="201"/>
      <c r="Q5" s="202"/>
    </row>
    <row r="6" spans="2:17">
      <c r="E6" s="88"/>
      <c r="F6" s="88"/>
      <c r="G6" s="88"/>
      <c r="H6" s="88"/>
      <c r="I6" s="88"/>
      <c r="J6" s="88"/>
      <c r="K6" s="88"/>
      <c r="L6" s="88"/>
      <c r="M6" s="88"/>
      <c r="N6" s="88"/>
      <c r="O6" s="88"/>
      <c r="P6" s="88"/>
      <c r="Q6" s="88"/>
    </row>
    <row r="7" spans="2:17" ht="17.25" thickBot="1"/>
    <row r="8" spans="2:17">
      <c r="E8" s="206" t="s">
        <v>389</v>
      </c>
      <c r="F8" s="207"/>
      <c r="G8" s="207"/>
      <c r="H8" s="207"/>
      <c r="I8" s="207"/>
      <c r="J8" s="207"/>
      <c r="K8" s="207"/>
      <c r="L8" s="207"/>
      <c r="M8" s="207"/>
      <c r="N8" s="207"/>
      <c r="O8" s="207"/>
      <c r="P8" s="207"/>
      <c r="Q8" s="208"/>
    </row>
    <row r="9" spans="2:17">
      <c r="E9" s="209" t="s">
        <v>390</v>
      </c>
      <c r="F9" s="210"/>
      <c r="G9" s="210"/>
      <c r="H9" s="210"/>
      <c r="I9" s="210"/>
      <c r="J9" s="210"/>
      <c r="K9" s="210"/>
      <c r="L9" s="210"/>
      <c r="M9" s="210"/>
      <c r="N9" s="210"/>
      <c r="O9" s="210"/>
      <c r="P9" s="210"/>
      <c r="Q9" s="211"/>
    </row>
    <row r="10" spans="2:17">
      <c r="E10" s="209" t="s">
        <v>391</v>
      </c>
      <c r="F10" s="210"/>
      <c r="G10" s="210"/>
      <c r="H10" s="210"/>
      <c r="I10" s="210"/>
      <c r="J10" s="210"/>
      <c r="K10" s="210"/>
      <c r="L10" s="210"/>
      <c r="M10" s="210"/>
      <c r="N10" s="210"/>
      <c r="O10" s="210"/>
      <c r="P10" s="210"/>
      <c r="Q10" s="211"/>
    </row>
    <row r="11" spans="2:17" ht="17.25" thickBot="1">
      <c r="E11" s="200" t="s">
        <v>392</v>
      </c>
      <c r="F11" s="201"/>
      <c r="G11" s="201"/>
      <c r="H11" s="201"/>
      <c r="I11" s="201"/>
      <c r="J11" s="201"/>
      <c r="K11" s="201"/>
      <c r="L11" s="201"/>
      <c r="M11" s="201"/>
      <c r="N11" s="201"/>
      <c r="O11" s="201"/>
      <c r="P11" s="201"/>
      <c r="Q11" s="202"/>
    </row>
    <row r="12" spans="2:17">
      <c r="E12" s="88"/>
      <c r="F12" s="88"/>
      <c r="G12" s="88"/>
      <c r="H12" s="88"/>
      <c r="I12" s="88"/>
      <c r="J12" s="88"/>
      <c r="K12" s="88"/>
      <c r="L12" s="88"/>
      <c r="M12" s="88"/>
      <c r="N12" s="88"/>
      <c r="O12" s="88"/>
      <c r="P12" s="88"/>
      <c r="Q12" s="88"/>
    </row>
    <row r="14" spans="2:17">
      <c r="B14" s="89" t="s">
        <v>393</v>
      </c>
      <c r="C14" s="89" t="s">
        <v>394</v>
      </c>
      <c r="E14" s="90"/>
      <c r="F14" s="91" t="s">
        <v>395</v>
      </c>
      <c r="G14" s="91" t="s">
        <v>396</v>
      </c>
      <c r="H14" s="91" t="s">
        <v>397</v>
      </c>
      <c r="I14" s="91" t="s">
        <v>398</v>
      </c>
      <c r="J14" s="91" t="s">
        <v>399</v>
      </c>
      <c r="K14" s="91" t="s">
        <v>400</v>
      </c>
      <c r="L14" s="91" t="s">
        <v>401</v>
      </c>
      <c r="M14" s="91" t="s">
        <v>402</v>
      </c>
      <c r="N14" s="91" t="s">
        <v>403</v>
      </c>
      <c r="O14" s="91" t="s">
        <v>404</v>
      </c>
      <c r="P14" s="91" t="s">
        <v>405</v>
      </c>
      <c r="Q14" s="91" t="s">
        <v>406</v>
      </c>
    </row>
    <row r="15" spans="2:17" ht="16.5" customHeight="1">
      <c r="B15" s="82" t="s">
        <v>201</v>
      </c>
      <c r="C15" s="82" t="s">
        <v>200</v>
      </c>
      <c r="E15" s="90" t="s">
        <v>408</v>
      </c>
      <c r="F15" s="92" t="s">
        <v>204</v>
      </c>
      <c r="G15" s="92" t="s">
        <v>205</v>
      </c>
      <c r="H15" s="92" t="s">
        <v>206</v>
      </c>
      <c r="I15" s="203" t="s">
        <v>207</v>
      </c>
      <c r="J15" s="204"/>
      <c r="K15" s="205"/>
      <c r="L15" s="203" t="s">
        <v>208</v>
      </c>
      <c r="M15" s="204"/>
      <c r="N15" s="205"/>
      <c r="O15" s="92" t="s">
        <v>209</v>
      </c>
      <c r="P15" s="92" t="s">
        <v>210</v>
      </c>
      <c r="Q15" s="92" t="s">
        <v>211</v>
      </c>
    </row>
    <row r="16" spans="2:17">
      <c r="E16" s="90" t="s">
        <v>409</v>
      </c>
      <c r="F16" s="92">
        <v>0</v>
      </c>
      <c r="G16" s="92">
        <v>0</v>
      </c>
      <c r="H16" s="92">
        <v>0</v>
      </c>
      <c r="I16" s="203">
        <v>0</v>
      </c>
      <c r="J16" s="204"/>
      <c r="K16" s="205"/>
      <c r="L16" s="203">
        <v>0</v>
      </c>
      <c r="M16" s="204"/>
      <c r="N16" s="205"/>
      <c r="O16" s="92">
        <v>0</v>
      </c>
      <c r="P16" s="92">
        <v>0</v>
      </c>
      <c r="Q16" s="92">
        <v>0</v>
      </c>
    </row>
    <row r="17" spans="2:17">
      <c r="E17" s="90" t="s">
        <v>386</v>
      </c>
      <c r="F17" s="92" t="s">
        <v>202</v>
      </c>
      <c r="G17" s="92" t="s">
        <v>202</v>
      </c>
      <c r="H17" s="92" t="s">
        <v>202</v>
      </c>
      <c r="I17" s="203" t="s">
        <v>202</v>
      </c>
      <c r="J17" s="204"/>
      <c r="K17" s="205"/>
      <c r="L17" s="203" t="s">
        <v>202</v>
      </c>
      <c r="M17" s="204"/>
      <c r="N17" s="205"/>
      <c r="O17" s="92" t="s">
        <v>202</v>
      </c>
      <c r="P17" s="92" t="s">
        <v>202</v>
      </c>
      <c r="Q17" s="92" t="s">
        <v>202</v>
      </c>
    </row>
    <row r="18" spans="2:17">
      <c r="E18" s="90" t="s">
        <v>389</v>
      </c>
      <c r="F18" s="92" t="s">
        <v>203</v>
      </c>
      <c r="G18" s="92" t="s">
        <v>203</v>
      </c>
      <c r="H18" s="92" t="s">
        <v>203</v>
      </c>
      <c r="I18" s="203" t="s">
        <v>203</v>
      </c>
      <c r="J18" s="204"/>
      <c r="K18" s="205"/>
      <c r="L18" s="203" t="s">
        <v>203</v>
      </c>
      <c r="M18" s="204"/>
      <c r="N18" s="205"/>
      <c r="O18" s="92" t="s">
        <v>203</v>
      </c>
      <c r="P18" s="92" t="s">
        <v>203</v>
      </c>
      <c r="Q18" s="92" t="s">
        <v>203</v>
      </c>
    </row>
    <row r="19" spans="2:17" ht="215.55" customHeight="1">
      <c r="E19" s="90" t="s">
        <v>413</v>
      </c>
      <c r="F19" s="215" t="s">
        <v>521</v>
      </c>
      <c r="G19" s="216"/>
      <c r="H19" s="216"/>
      <c r="I19" s="216"/>
      <c r="J19" s="216"/>
      <c r="K19" s="216"/>
      <c r="L19" s="216"/>
      <c r="M19" s="216"/>
      <c r="N19" s="216"/>
      <c r="O19" s="216"/>
      <c r="P19" s="216"/>
      <c r="Q19" s="217"/>
    </row>
    <row r="21" spans="2:17">
      <c r="B21" s="89" t="s">
        <v>393</v>
      </c>
      <c r="C21" s="89" t="s">
        <v>394</v>
      </c>
      <c r="E21" s="90"/>
      <c r="F21" s="90" t="s">
        <v>395</v>
      </c>
      <c r="G21" s="90" t="s">
        <v>396</v>
      </c>
      <c r="H21" s="90" t="s">
        <v>397</v>
      </c>
      <c r="I21" s="90" t="s">
        <v>398</v>
      </c>
      <c r="J21" s="90" t="s">
        <v>399</v>
      </c>
      <c r="K21" s="90" t="s">
        <v>400</v>
      </c>
      <c r="L21" s="90" t="s">
        <v>401</v>
      </c>
      <c r="M21" s="90" t="s">
        <v>402</v>
      </c>
      <c r="N21" s="90" t="s">
        <v>403</v>
      </c>
      <c r="O21" s="90" t="s">
        <v>404</v>
      </c>
      <c r="P21" s="90" t="s">
        <v>405</v>
      </c>
      <c r="Q21" s="90" t="s">
        <v>406</v>
      </c>
    </row>
    <row r="22" spans="2:17">
      <c r="B22" s="82" t="s">
        <v>522</v>
      </c>
      <c r="C22" s="82" t="s">
        <v>523</v>
      </c>
      <c r="E22" s="90" t="s">
        <v>408</v>
      </c>
      <c r="F22" s="92" t="s">
        <v>214</v>
      </c>
      <c r="G22" s="92" t="s">
        <v>215</v>
      </c>
      <c r="H22" s="92" t="s">
        <v>216</v>
      </c>
      <c r="I22" s="92" t="s">
        <v>217</v>
      </c>
      <c r="J22" s="212" t="s">
        <v>524</v>
      </c>
      <c r="K22" s="212"/>
      <c r="L22" s="212"/>
      <c r="M22" s="212"/>
      <c r="N22" s="212" t="s">
        <v>525</v>
      </c>
      <c r="O22" s="212"/>
      <c r="P22" s="212"/>
      <c r="Q22" s="212"/>
    </row>
    <row r="23" spans="2:17">
      <c r="E23" s="90" t="s">
        <v>409</v>
      </c>
      <c r="F23" s="92">
        <v>0</v>
      </c>
      <c r="G23" s="92">
        <v>0</v>
      </c>
      <c r="H23" s="92">
        <v>0</v>
      </c>
      <c r="I23" s="92">
        <v>0</v>
      </c>
      <c r="J23" s="212" t="s">
        <v>526</v>
      </c>
      <c r="K23" s="212"/>
      <c r="L23" s="212"/>
      <c r="M23" s="212"/>
      <c r="N23" s="212" t="s">
        <v>410</v>
      </c>
      <c r="O23" s="212"/>
      <c r="P23" s="212"/>
      <c r="Q23" s="212"/>
    </row>
    <row r="24" spans="2:17">
      <c r="E24" s="90" t="s">
        <v>386</v>
      </c>
      <c r="F24" s="92" t="s">
        <v>202</v>
      </c>
      <c r="G24" s="92" t="s">
        <v>202</v>
      </c>
      <c r="H24" s="92" t="s">
        <v>202</v>
      </c>
      <c r="I24" s="92" t="s">
        <v>202</v>
      </c>
      <c r="J24" s="212" t="s">
        <v>202</v>
      </c>
      <c r="K24" s="212"/>
      <c r="L24" s="212"/>
      <c r="M24" s="212"/>
      <c r="N24" s="212" t="s">
        <v>202</v>
      </c>
      <c r="O24" s="212"/>
      <c r="P24" s="212"/>
      <c r="Q24" s="212"/>
    </row>
    <row r="25" spans="2:17">
      <c r="E25" s="90" t="s">
        <v>389</v>
      </c>
      <c r="F25" s="92" t="s">
        <v>203</v>
      </c>
      <c r="G25" s="92" t="s">
        <v>203</v>
      </c>
      <c r="H25" s="92" t="s">
        <v>203</v>
      </c>
      <c r="I25" s="92" t="s">
        <v>203</v>
      </c>
      <c r="J25" s="212" t="s">
        <v>203</v>
      </c>
      <c r="K25" s="212"/>
      <c r="L25" s="212"/>
      <c r="M25" s="212"/>
      <c r="N25" s="212" t="s">
        <v>203</v>
      </c>
      <c r="O25" s="212"/>
      <c r="P25" s="212"/>
      <c r="Q25" s="212"/>
    </row>
    <row r="26" spans="2:17" ht="70.5" customHeight="1">
      <c r="E26" s="90" t="s">
        <v>413</v>
      </c>
      <c r="F26" s="213" t="s">
        <v>527</v>
      </c>
      <c r="G26" s="210"/>
      <c r="H26" s="210"/>
      <c r="I26" s="210"/>
      <c r="J26" s="210"/>
      <c r="K26" s="210"/>
      <c r="L26" s="210"/>
      <c r="M26" s="210"/>
      <c r="N26" s="210"/>
      <c r="O26" s="210"/>
      <c r="P26" s="210"/>
      <c r="Q26" s="214"/>
    </row>
    <row r="28" spans="2:17">
      <c r="B28" s="89" t="s">
        <v>393</v>
      </c>
      <c r="C28" s="89" t="s">
        <v>394</v>
      </c>
      <c r="E28" s="90"/>
      <c r="F28" s="90" t="s">
        <v>395</v>
      </c>
      <c r="G28" s="90" t="s">
        <v>396</v>
      </c>
      <c r="H28" s="90" t="s">
        <v>397</v>
      </c>
      <c r="I28" s="90" t="s">
        <v>398</v>
      </c>
      <c r="J28" s="90" t="s">
        <v>399</v>
      </c>
      <c r="K28" s="90" t="s">
        <v>400</v>
      </c>
      <c r="L28" s="90" t="s">
        <v>401</v>
      </c>
      <c r="M28" s="90" t="s">
        <v>402</v>
      </c>
      <c r="N28" s="90" t="s">
        <v>403</v>
      </c>
      <c r="O28" s="90" t="s">
        <v>404</v>
      </c>
      <c r="P28" s="90" t="s">
        <v>405</v>
      </c>
      <c r="Q28" s="90" t="s">
        <v>406</v>
      </c>
    </row>
    <row r="29" spans="2:17">
      <c r="B29" s="82" t="s">
        <v>528</v>
      </c>
      <c r="C29" s="82" t="s">
        <v>529</v>
      </c>
      <c r="E29" s="90" t="s">
        <v>408</v>
      </c>
      <c r="F29" s="203" t="s">
        <v>530</v>
      </c>
      <c r="G29" s="204"/>
      <c r="H29" s="204"/>
      <c r="I29" s="204"/>
      <c r="J29" s="204"/>
      <c r="K29" s="204"/>
      <c r="L29" s="204"/>
      <c r="M29" s="204"/>
      <c r="N29" s="204"/>
      <c r="O29" s="204"/>
      <c r="P29" s="204"/>
      <c r="Q29" s="205"/>
    </row>
    <row r="30" spans="2:17">
      <c r="E30" s="90" t="s">
        <v>409</v>
      </c>
      <c r="F30" s="203" t="s">
        <v>531</v>
      </c>
      <c r="G30" s="204"/>
      <c r="H30" s="204"/>
      <c r="I30" s="204"/>
      <c r="J30" s="204"/>
      <c r="K30" s="204"/>
      <c r="L30" s="204"/>
      <c r="M30" s="204"/>
      <c r="N30" s="204"/>
      <c r="O30" s="204"/>
      <c r="P30" s="204"/>
      <c r="Q30" s="205"/>
    </row>
    <row r="31" spans="2:17">
      <c r="E31" s="90" t="s">
        <v>386</v>
      </c>
      <c r="F31" s="203" t="s">
        <v>202</v>
      </c>
      <c r="G31" s="204"/>
      <c r="H31" s="204"/>
      <c r="I31" s="204"/>
      <c r="J31" s="204"/>
      <c r="K31" s="204"/>
      <c r="L31" s="204"/>
      <c r="M31" s="204"/>
      <c r="N31" s="204"/>
      <c r="O31" s="204"/>
      <c r="P31" s="204"/>
      <c r="Q31" s="205"/>
    </row>
    <row r="32" spans="2:17">
      <c r="E32" s="90" t="s">
        <v>389</v>
      </c>
      <c r="F32" s="203" t="s">
        <v>203</v>
      </c>
      <c r="G32" s="204"/>
      <c r="H32" s="204"/>
      <c r="I32" s="204"/>
      <c r="J32" s="204"/>
      <c r="K32" s="204"/>
      <c r="L32" s="204"/>
      <c r="M32" s="204"/>
      <c r="N32" s="204"/>
      <c r="O32" s="204"/>
      <c r="P32" s="204"/>
      <c r="Q32" s="205"/>
    </row>
    <row r="33" spans="2:17">
      <c r="E33" s="90" t="s">
        <v>413</v>
      </c>
      <c r="F33" s="213"/>
      <c r="G33" s="210"/>
      <c r="H33" s="210"/>
      <c r="I33" s="210"/>
      <c r="J33" s="210"/>
      <c r="K33" s="210"/>
      <c r="L33" s="210"/>
      <c r="M33" s="210"/>
      <c r="N33" s="210"/>
      <c r="O33" s="210"/>
      <c r="P33" s="210"/>
      <c r="Q33" s="214"/>
    </row>
    <row r="35" spans="2:17">
      <c r="B35" s="89" t="s">
        <v>393</v>
      </c>
      <c r="C35" s="89" t="s">
        <v>394</v>
      </c>
      <c r="E35" s="90"/>
      <c r="F35" s="90" t="s">
        <v>395</v>
      </c>
      <c r="G35" s="90" t="s">
        <v>396</v>
      </c>
      <c r="H35" s="90" t="s">
        <v>397</v>
      </c>
      <c r="I35" s="90" t="s">
        <v>398</v>
      </c>
      <c r="J35" s="90" t="s">
        <v>399</v>
      </c>
      <c r="K35" s="90" t="s">
        <v>400</v>
      </c>
      <c r="L35" s="90" t="s">
        <v>401</v>
      </c>
      <c r="M35" s="90" t="s">
        <v>402</v>
      </c>
      <c r="N35" s="90" t="s">
        <v>403</v>
      </c>
      <c r="O35" s="90" t="s">
        <v>404</v>
      </c>
      <c r="P35" s="90" t="s">
        <v>405</v>
      </c>
      <c r="Q35" s="90" t="s">
        <v>406</v>
      </c>
    </row>
    <row r="36" spans="2:17">
      <c r="B36" s="82" t="s">
        <v>532</v>
      </c>
      <c r="C36" s="82" t="s">
        <v>533</v>
      </c>
      <c r="E36" s="90" t="s">
        <v>408</v>
      </c>
      <c r="F36" s="203" t="s">
        <v>534</v>
      </c>
      <c r="G36" s="204"/>
      <c r="H36" s="204"/>
      <c r="I36" s="204"/>
      <c r="J36" s="204"/>
      <c r="K36" s="204"/>
      <c r="L36" s="204"/>
      <c r="M36" s="204"/>
      <c r="N36" s="204"/>
      <c r="O36" s="204"/>
      <c r="P36" s="204"/>
      <c r="Q36" s="205"/>
    </row>
    <row r="37" spans="2:17">
      <c r="E37" s="90" t="s">
        <v>409</v>
      </c>
      <c r="F37" s="203" t="s">
        <v>535</v>
      </c>
      <c r="G37" s="204"/>
      <c r="H37" s="204"/>
      <c r="I37" s="204"/>
      <c r="J37" s="204"/>
      <c r="K37" s="204"/>
      <c r="L37" s="204"/>
      <c r="M37" s="204"/>
      <c r="N37" s="204"/>
      <c r="O37" s="204"/>
      <c r="P37" s="204"/>
      <c r="Q37" s="205"/>
    </row>
    <row r="38" spans="2:17">
      <c r="E38" s="90" t="s">
        <v>386</v>
      </c>
      <c r="F38" s="203" t="s">
        <v>202</v>
      </c>
      <c r="G38" s="204"/>
      <c r="H38" s="204"/>
      <c r="I38" s="204"/>
      <c r="J38" s="204"/>
      <c r="K38" s="204"/>
      <c r="L38" s="204"/>
      <c r="M38" s="204"/>
      <c r="N38" s="204"/>
      <c r="O38" s="204"/>
      <c r="P38" s="204"/>
      <c r="Q38" s="205"/>
    </row>
    <row r="39" spans="2:17">
      <c r="E39" s="90" t="s">
        <v>389</v>
      </c>
      <c r="F39" s="203" t="s">
        <v>203</v>
      </c>
      <c r="G39" s="204"/>
      <c r="H39" s="204"/>
      <c r="I39" s="204"/>
      <c r="J39" s="204"/>
      <c r="K39" s="204"/>
      <c r="L39" s="204"/>
      <c r="M39" s="204"/>
      <c r="N39" s="204"/>
      <c r="O39" s="204"/>
      <c r="P39" s="204"/>
      <c r="Q39" s="205"/>
    </row>
    <row r="40" spans="2:17" ht="39" customHeight="1">
      <c r="E40" s="90" t="s">
        <v>413</v>
      </c>
      <c r="F40" s="213" t="s">
        <v>536</v>
      </c>
      <c r="G40" s="210"/>
      <c r="H40" s="210"/>
      <c r="I40" s="210"/>
      <c r="J40" s="210"/>
      <c r="K40" s="210"/>
      <c r="L40" s="210"/>
      <c r="M40" s="210"/>
      <c r="N40" s="210"/>
      <c r="O40" s="210"/>
      <c r="P40" s="210"/>
      <c r="Q40" s="214"/>
    </row>
    <row r="42" spans="2:17" ht="17.25" customHeight="1">
      <c r="B42" s="96" t="s">
        <v>537</v>
      </c>
      <c r="C42" s="97"/>
      <c r="D42" s="98"/>
      <c r="E42" s="99"/>
      <c r="F42" s="100"/>
      <c r="G42" s="100"/>
      <c r="H42" s="100"/>
      <c r="I42" s="100"/>
      <c r="J42" s="100"/>
      <c r="K42" s="100"/>
      <c r="L42" s="100"/>
      <c r="M42" s="100"/>
      <c r="N42" s="100"/>
      <c r="O42" s="100"/>
      <c r="P42" s="100"/>
      <c r="Q42" s="100"/>
    </row>
    <row r="43" spans="2:17">
      <c r="B43" s="89" t="s">
        <v>393</v>
      </c>
      <c r="C43" s="89" t="s">
        <v>394</v>
      </c>
      <c r="E43" s="90"/>
      <c r="F43" s="90" t="s">
        <v>395</v>
      </c>
      <c r="G43" s="90" t="s">
        <v>396</v>
      </c>
      <c r="H43" s="90" t="s">
        <v>397</v>
      </c>
      <c r="I43" s="90" t="s">
        <v>398</v>
      </c>
      <c r="J43" s="90" t="s">
        <v>399</v>
      </c>
      <c r="K43" s="90" t="s">
        <v>400</v>
      </c>
      <c r="L43" s="90" t="s">
        <v>401</v>
      </c>
      <c r="M43" s="90" t="s">
        <v>402</v>
      </c>
      <c r="N43" s="90" t="s">
        <v>403</v>
      </c>
      <c r="O43" s="90" t="s">
        <v>404</v>
      </c>
      <c r="P43" s="90" t="s">
        <v>405</v>
      </c>
      <c r="Q43" s="90" t="s">
        <v>406</v>
      </c>
    </row>
    <row r="44" spans="2:17" ht="16.5" customHeight="1">
      <c r="B44" s="82" t="s">
        <v>538</v>
      </c>
      <c r="C44" s="82" t="s">
        <v>539</v>
      </c>
      <c r="E44" s="90" t="s">
        <v>408</v>
      </c>
      <c r="F44" s="218" t="s">
        <v>231</v>
      </c>
      <c r="G44" s="218"/>
      <c r="H44" s="218"/>
      <c r="I44" s="218" t="s">
        <v>232</v>
      </c>
      <c r="J44" s="218"/>
      <c r="K44" s="218"/>
      <c r="L44" s="218" t="s">
        <v>233</v>
      </c>
      <c r="M44" s="218"/>
      <c r="N44" s="218"/>
      <c r="O44" s="218"/>
      <c r="P44" s="218"/>
      <c r="Q44" s="218"/>
    </row>
    <row r="45" spans="2:17">
      <c r="E45" s="90" t="s">
        <v>409</v>
      </c>
      <c r="F45" s="212" t="s">
        <v>410</v>
      </c>
      <c r="G45" s="212"/>
      <c r="H45" s="212"/>
      <c r="I45" s="212" t="s">
        <v>410</v>
      </c>
      <c r="J45" s="212"/>
      <c r="K45" s="212"/>
      <c r="L45" s="203" t="s">
        <v>193</v>
      </c>
      <c r="M45" s="204"/>
      <c r="N45" s="204"/>
      <c r="O45" s="204"/>
      <c r="P45" s="204"/>
      <c r="Q45" s="204"/>
    </row>
    <row r="46" spans="2:17">
      <c r="E46" s="90" t="s">
        <v>386</v>
      </c>
      <c r="F46" s="203" t="s">
        <v>202</v>
      </c>
      <c r="G46" s="204"/>
      <c r="H46" s="204"/>
      <c r="I46" s="204"/>
      <c r="J46" s="204"/>
      <c r="K46" s="204"/>
      <c r="L46" s="204"/>
      <c r="M46" s="204"/>
      <c r="N46" s="204"/>
      <c r="O46" s="204"/>
      <c r="P46" s="204"/>
      <c r="Q46" s="205"/>
    </row>
    <row r="47" spans="2:17">
      <c r="E47" s="90" t="s">
        <v>389</v>
      </c>
      <c r="F47" s="203" t="s">
        <v>203</v>
      </c>
      <c r="G47" s="204"/>
      <c r="H47" s="204"/>
      <c r="I47" s="204"/>
      <c r="J47" s="204"/>
      <c r="K47" s="204"/>
      <c r="L47" s="204"/>
      <c r="M47" s="204"/>
      <c r="N47" s="204"/>
      <c r="O47" s="204"/>
      <c r="P47" s="204"/>
      <c r="Q47" s="205"/>
    </row>
    <row r="48" spans="2:17">
      <c r="E48" s="90" t="s">
        <v>413</v>
      </c>
      <c r="F48" s="213" t="s">
        <v>540</v>
      </c>
      <c r="G48" s="210"/>
      <c r="H48" s="210"/>
      <c r="I48" s="210"/>
      <c r="J48" s="210"/>
      <c r="K48" s="210"/>
      <c r="L48" s="210"/>
      <c r="M48" s="210"/>
      <c r="N48" s="210"/>
      <c r="O48" s="210"/>
      <c r="P48" s="210"/>
      <c r="Q48" s="214"/>
    </row>
    <row r="50" spans="2:17">
      <c r="B50" s="89" t="s">
        <v>393</v>
      </c>
      <c r="C50" s="89" t="s">
        <v>394</v>
      </c>
      <c r="E50" s="90"/>
      <c r="F50" s="90" t="s">
        <v>395</v>
      </c>
      <c r="G50" s="90" t="s">
        <v>396</v>
      </c>
      <c r="H50" s="90" t="s">
        <v>397</v>
      </c>
      <c r="I50" s="90" t="s">
        <v>398</v>
      </c>
      <c r="J50" s="90" t="s">
        <v>399</v>
      </c>
      <c r="K50" s="90" t="s">
        <v>400</v>
      </c>
      <c r="L50" s="90" t="s">
        <v>401</v>
      </c>
      <c r="M50" s="90" t="s">
        <v>402</v>
      </c>
      <c r="N50" s="90" t="s">
        <v>403</v>
      </c>
      <c r="O50" s="90" t="s">
        <v>404</v>
      </c>
      <c r="P50" s="90" t="s">
        <v>405</v>
      </c>
      <c r="Q50" s="90" t="s">
        <v>406</v>
      </c>
    </row>
    <row r="51" spans="2:17" ht="17.25" customHeight="1">
      <c r="B51" s="82" t="s">
        <v>541</v>
      </c>
      <c r="C51" s="82" t="s">
        <v>542</v>
      </c>
      <c r="E51" s="90" t="s">
        <v>408</v>
      </c>
      <c r="F51" s="218" t="s">
        <v>237</v>
      </c>
      <c r="G51" s="218"/>
      <c r="H51" s="219" t="s">
        <v>238</v>
      </c>
      <c r="I51" s="220"/>
      <c r="J51" s="218" t="s">
        <v>239</v>
      </c>
      <c r="K51" s="218"/>
      <c r="L51" s="218"/>
      <c r="M51" s="218" t="s">
        <v>240</v>
      </c>
      <c r="N51" s="218"/>
      <c r="O51" s="218"/>
      <c r="P51" s="218"/>
      <c r="Q51" s="218"/>
    </row>
    <row r="52" spans="2:17">
      <c r="E52" s="90" t="s">
        <v>409</v>
      </c>
      <c r="F52" s="203" t="s">
        <v>410</v>
      </c>
      <c r="G52" s="205"/>
      <c r="H52" s="203" t="s">
        <v>410</v>
      </c>
      <c r="I52" s="205"/>
      <c r="J52" s="212" t="s">
        <v>410</v>
      </c>
      <c r="K52" s="212"/>
      <c r="L52" s="212"/>
      <c r="M52" s="212" t="s">
        <v>468</v>
      </c>
      <c r="N52" s="212"/>
      <c r="O52" s="212"/>
      <c r="P52" s="212"/>
      <c r="Q52" s="212"/>
    </row>
    <row r="53" spans="2:17">
      <c r="E53" s="90" t="s">
        <v>386</v>
      </c>
      <c r="F53" s="212" t="s">
        <v>202</v>
      </c>
      <c r="G53" s="212"/>
      <c r="H53" s="212"/>
      <c r="I53" s="212"/>
      <c r="J53" s="212"/>
      <c r="K53" s="212"/>
      <c r="L53" s="212"/>
      <c r="M53" s="212"/>
      <c r="N53" s="212"/>
      <c r="O53" s="212"/>
      <c r="P53" s="212"/>
      <c r="Q53" s="212"/>
    </row>
    <row r="54" spans="2:17">
      <c r="E54" s="90" t="s">
        <v>389</v>
      </c>
      <c r="F54" s="212" t="s">
        <v>203</v>
      </c>
      <c r="G54" s="212"/>
      <c r="H54" s="212"/>
      <c r="I54" s="212"/>
      <c r="J54" s="212"/>
      <c r="K54" s="212"/>
      <c r="L54" s="212"/>
      <c r="M54" s="212"/>
      <c r="N54" s="212"/>
      <c r="O54" s="212"/>
      <c r="P54" s="212"/>
      <c r="Q54" s="212"/>
    </row>
    <row r="55" spans="2:17" ht="17.25" customHeight="1">
      <c r="E55" s="90" t="s">
        <v>413</v>
      </c>
      <c r="F55" s="213" t="s">
        <v>540</v>
      </c>
      <c r="G55" s="210"/>
      <c r="H55" s="210"/>
      <c r="I55" s="210"/>
      <c r="J55" s="210"/>
      <c r="K55" s="210"/>
      <c r="L55" s="210"/>
      <c r="M55" s="210"/>
      <c r="N55" s="210"/>
      <c r="O55" s="210"/>
      <c r="P55" s="210"/>
      <c r="Q55" s="214"/>
    </row>
    <row r="57" spans="2:17">
      <c r="B57" s="89" t="s">
        <v>393</v>
      </c>
      <c r="C57" s="89" t="s">
        <v>394</v>
      </c>
      <c r="E57" s="90"/>
      <c r="F57" s="90" t="s">
        <v>395</v>
      </c>
      <c r="G57" s="90" t="s">
        <v>396</v>
      </c>
      <c r="H57" s="90" t="s">
        <v>397</v>
      </c>
      <c r="I57" s="90" t="s">
        <v>398</v>
      </c>
      <c r="J57" s="90" t="s">
        <v>399</v>
      </c>
      <c r="K57" s="90" t="s">
        <v>400</v>
      </c>
      <c r="L57" s="90" t="s">
        <v>401</v>
      </c>
      <c r="M57" s="90" t="s">
        <v>402</v>
      </c>
      <c r="N57" s="90" t="s">
        <v>403</v>
      </c>
      <c r="O57" s="90" t="s">
        <v>404</v>
      </c>
      <c r="P57" s="90" t="s">
        <v>405</v>
      </c>
      <c r="Q57" s="90" t="s">
        <v>406</v>
      </c>
    </row>
    <row r="58" spans="2:17" ht="17.25" customHeight="1">
      <c r="B58" s="82" t="s">
        <v>543</v>
      </c>
      <c r="C58" s="82" t="s">
        <v>544</v>
      </c>
      <c r="E58" s="90" t="s">
        <v>408</v>
      </c>
      <c r="F58" s="101" t="s">
        <v>66</v>
      </c>
      <c r="G58" s="101" t="s">
        <v>66</v>
      </c>
      <c r="H58" s="224" t="s">
        <v>245</v>
      </c>
      <c r="I58" s="225"/>
      <c r="J58" s="225"/>
      <c r="K58" s="225"/>
      <c r="L58" s="225"/>
      <c r="M58" s="226"/>
      <c r="N58" s="221" t="s">
        <v>246</v>
      </c>
      <c r="O58" s="222"/>
      <c r="P58" s="222"/>
      <c r="Q58" s="223"/>
    </row>
    <row r="59" spans="2:17" ht="17" customHeight="1">
      <c r="E59" s="90" t="s">
        <v>409</v>
      </c>
      <c r="F59" s="93" t="s">
        <v>545</v>
      </c>
      <c r="G59" s="95" t="s">
        <v>545</v>
      </c>
      <c r="H59" s="203" t="s">
        <v>546</v>
      </c>
      <c r="I59" s="204"/>
      <c r="J59" s="204"/>
      <c r="K59" s="204"/>
      <c r="L59" s="204"/>
      <c r="M59" s="204"/>
      <c r="N59" s="204"/>
      <c r="O59" s="204"/>
      <c r="P59" s="204"/>
      <c r="Q59" s="205"/>
    </row>
    <row r="60" spans="2:17">
      <c r="E60" s="90" t="s">
        <v>386</v>
      </c>
      <c r="F60" s="203" t="s">
        <v>202</v>
      </c>
      <c r="G60" s="204"/>
      <c r="H60" s="204"/>
      <c r="I60" s="204"/>
      <c r="J60" s="204"/>
      <c r="K60" s="204"/>
      <c r="L60" s="204"/>
      <c r="M60" s="204"/>
      <c r="N60" s="204"/>
      <c r="O60" s="204"/>
      <c r="P60" s="204"/>
      <c r="Q60" s="205"/>
    </row>
    <row r="61" spans="2:17">
      <c r="E61" s="90" t="s">
        <v>389</v>
      </c>
      <c r="F61" s="212" t="s">
        <v>203</v>
      </c>
      <c r="G61" s="212"/>
      <c r="H61" s="212"/>
      <c r="I61" s="212"/>
      <c r="J61" s="212"/>
      <c r="K61" s="212"/>
      <c r="L61" s="212"/>
      <c r="M61" s="212"/>
      <c r="N61" s="212"/>
      <c r="O61" s="212"/>
      <c r="P61" s="212"/>
      <c r="Q61" s="212"/>
    </row>
    <row r="62" spans="2:17" ht="17.25" customHeight="1">
      <c r="E62" s="90" t="s">
        <v>413</v>
      </c>
      <c r="F62" s="213" t="s">
        <v>540</v>
      </c>
      <c r="G62" s="210"/>
      <c r="H62" s="210"/>
      <c r="I62" s="210"/>
      <c r="J62" s="210"/>
      <c r="K62" s="210"/>
      <c r="L62" s="210"/>
      <c r="M62" s="210"/>
      <c r="N62" s="210"/>
      <c r="O62" s="210"/>
      <c r="P62" s="210"/>
      <c r="Q62" s="214"/>
    </row>
    <row r="64" spans="2:17">
      <c r="B64" s="89" t="s">
        <v>393</v>
      </c>
      <c r="C64" s="89" t="s">
        <v>394</v>
      </c>
      <c r="E64" s="90"/>
      <c r="F64" s="90" t="s">
        <v>395</v>
      </c>
      <c r="G64" s="90" t="s">
        <v>396</v>
      </c>
      <c r="H64" s="90" t="s">
        <v>397</v>
      </c>
      <c r="I64" s="90" t="s">
        <v>398</v>
      </c>
      <c r="J64" s="90" t="s">
        <v>399</v>
      </c>
      <c r="K64" s="90" t="s">
        <v>400</v>
      </c>
      <c r="L64" s="90" t="s">
        <v>401</v>
      </c>
      <c r="M64" s="90" t="s">
        <v>402</v>
      </c>
      <c r="N64" s="90" t="s">
        <v>403</v>
      </c>
      <c r="O64" s="90" t="s">
        <v>404</v>
      </c>
      <c r="P64" s="90" t="s">
        <v>405</v>
      </c>
      <c r="Q64" s="90" t="s">
        <v>406</v>
      </c>
    </row>
    <row r="65" spans="2:17" ht="17.25" customHeight="1">
      <c r="B65" s="82" t="s">
        <v>547</v>
      </c>
      <c r="C65" s="82" t="s">
        <v>548</v>
      </c>
      <c r="E65" s="90" t="s">
        <v>408</v>
      </c>
      <c r="F65" s="218" t="s">
        <v>250</v>
      </c>
      <c r="G65" s="218"/>
      <c r="H65" s="218"/>
      <c r="I65" s="218"/>
      <c r="J65" s="218"/>
      <c r="K65" s="218"/>
      <c r="L65" s="218"/>
      <c r="M65" s="218"/>
      <c r="N65" s="221" t="s">
        <v>251</v>
      </c>
      <c r="O65" s="222"/>
      <c r="P65" s="222"/>
      <c r="Q65" s="223"/>
    </row>
    <row r="66" spans="2:17">
      <c r="E66" s="90" t="s">
        <v>409</v>
      </c>
      <c r="F66" s="212" t="s">
        <v>410</v>
      </c>
      <c r="G66" s="212"/>
      <c r="H66" s="212"/>
      <c r="I66" s="212"/>
      <c r="J66" s="212"/>
      <c r="K66" s="212"/>
      <c r="L66" s="212"/>
      <c r="M66" s="212"/>
      <c r="N66" s="212" t="s">
        <v>549</v>
      </c>
      <c r="O66" s="212"/>
      <c r="P66" s="212"/>
      <c r="Q66" s="212"/>
    </row>
    <row r="67" spans="2:17">
      <c r="E67" s="90" t="s">
        <v>386</v>
      </c>
      <c r="F67" s="212" t="s">
        <v>202</v>
      </c>
      <c r="G67" s="212"/>
      <c r="H67" s="212"/>
      <c r="I67" s="212"/>
      <c r="J67" s="212"/>
      <c r="K67" s="212"/>
      <c r="L67" s="212"/>
      <c r="M67" s="212"/>
      <c r="N67" s="212"/>
      <c r="O67" s="212"/>
      <c r="P67" s="212"/>
      <c r="Q67" s="212"/>
    </row>
    <row r="68" spans="2:17">
      <c r="E68" s="90" t="s">
        <v>389</v>
      </c>
      <c r="F68" s="212" t="s">
        <v>203</v>
      </c>
      <c r="G68" s="212"/>
      <c r="H68" s="212"/>
      <c r="I68" s="212"/>
      <c r="J68" s="212"/>
      <c r="K68" s="212"/>
      <c r="L68" s="212"/>
      <c r="M68" s="212"/>
      <c r="N68" s="212"/>
      <c r="O68" s="212"/>
      <c r="P68" s="212"/>
      <c r="Q68" s="212"/>
    </row>
    <row r="69" spans="2:17" ht="17.25" customHeight="1">
      <c r="E69" s="90" t="s">
        <v>413</v>
      </c>
      <c r="F69" s="213" t="s">
        <v>540</v>
      </c>
      <c r="G69" s="210"/>
      <c r="H69" s="210"/>
      <c r="I69" s="210"/>
      <c r="J69" s="210"/>
      <c r="K69" s="210"/>
      <c r="L69" s="210"/>
      <c r="M69" s="210"/>
      <c r="N69" s="210"/>
      <c r="O69" s="210"/>
      <c r="P69" s="210"/>
      <c r="Q69" s="214"/>
    </row>
    <row r="71" spans="2:17">
      <c r="B71" s="89" t="s">
        <v>393</v>
      </c>
      <c r="C71" s="89" t="s">
        <v>394</v>
      </c>
      <c r="E71" s="90"/>
      <c r="F71" s="90" t="s">
        <v>395</v>
      </c>
      <c r="G71" s="90" t="s">
        <v>396</v>
      </c>
      <c r="H71" s="90" t="s">
        <v>397</v>
      </c>
      <c r="I71" s="90" t="s">
        <v>398</v>
      </c>
      <c r="J71" s="90" t="s">
        <v>399</v>
      </c>
      <c r="K71" s="90" t="s">
        <v>400</v>
      </c>
      <c r="L71" s="90" t="s">
        <v>401</v>
      </c>
      <c r="M71" s="90" t="s">
        <v>402</v>
      </c>
      <c r="N71" s="90" t="s">
        <v>403</v>
      </c>
      <c r="O71" s="90" t="s">
        <v>404</v>
      </c>
      <c r="P71" s="90" t="s">
        <v>405</v>
      </c>
      <c r="Q71" s="90" t="s">
        <v>406</v>
      </c>
    </row>
    <row r="72" spans="2:17" ht="17.25" customHeight="1">
      <c r="B72" s="82" t="s">
        <v>550</v>
      </c>
      <c r="C72" s="82" t="s">
        <v>551</v>
      </c>
      <c r="E72" s="90" t="s">
        <v>408</v>
      </c>
      <c r="F72" s="101" t="s">
        <v>66</v>
      </c>
      <c r="G72" s="101" t="s">
        <v>66</v>
      </c>
      <c r="H72" s="101" t="s">
        <v>66</v>
      </c>
      <c r="I72" s="101" t="s">
        <v>66</v>
      </c>
      <c r="J72" s="101" t="s">
        <v>66</v>
      </c>
      <c r="K72" s="101" t="s">
        <v>66</v>
      </c>
      <c r="L72" s="101" t="s">
        <v>66</v>
      </c>
      <c r="M72" s="101" t="s">
        <v>66</v>
      </c>
      <c r="N72" s="101" t="s">
        <v>66</v>
      </c>
      <c r="O72" s="101" t="s">
        <v>66</v>
      </c>
      <c r="P72" s="101" t="s">
        <v>66</v>
      </c>
      <c r="Q72" s="101" t="s">
        <v>66</v>
      </c>
    </row>
    <row r="73" spans="2:17">
      <c r="E73" s="90" t="s">
        <v>409</v>
      </c>
      <c r="F73" s="102" t="s">
        <v>410</v>
      </c>
      <c r="G73" s="102" t="s">
        <v>410</v>
      </c>
      <c r="H73" s="102" t="s">
        <v>410</v>
      </c>
      <c r="I73" s="102" t="s">
        <v>410</v>
      </c>
      <c r="J73" s="102" t="s">
        <v>410</v>
      </c>
      <c r="K73" s="102" t="s">
        <v>410</v>
      </c>
      <c r="L73" s="102" t="s">
        <v>410</v>
      </c>
      <c r="M73" s="102" t="s">
        <v>410</v>
      </c>
      <c r="N73" s="102" t="s">
        <v>410</v>
      </c>
      <c r="O73" s="102" t="s">
        <v>410</v>
      </c>
      <c r="P73" s="102" t="s">
        <v>410</v>
      </c>
      <c r="Q73" s="102" t="s">
        <v>410</v>
      </c>
    </row>
    <row r="74" spans="2:17">
      <c r="E74" s="90" t="s">
        <v>386</v>
      </c>
      <c r="F74" s="212" t="s">
        <v>202</v>
      </c>
      <c r="G74" s="212"/>
      <c r="H74" s="212"/>
      <c r="I74" s="212"/>
      <c r="J74" s="212"/>
      <c r="K74" s="212"/>
      <c r="L74" s="212"/>
      <c r="M74" s="212"/>
      <c r="N74" s="212"/>
      <c r="O74" s="212"/>
      <c r="P74" s="212"/>
      <c r="Q74" s="212"/>
    </row>
    <row r="75" spans="2:17">
      <c r="E75" s="90" t="s">
        <v>389</v>
      </c>
      <c r="F75" s="212" t="s">
        <v>203</v>
      </c>
      <c r="G75" s="212"/>
      <c r="H75" s="212"/>
      <c r="I75" s="212"/>
      <c r="J75" s="212"/>
      <c r="K75" s="212"/>
      <c r="L75" s="212"/>
      <c r="M75" s="212"/>
      <c r="N75" s="212"/>
      <c r="O75" s="212"/>
      <c r="P75" s="212"/>
      <c r="Q75" s="212"/>
    </row>
    <row r="76" spans="2:17" ht="17.25" customHeight="1">
      <c r="E76" s="90" t="s">
        <v>413</v>
      </c>
      <c r="F76" s="213" t="s">
        <v>540</v>
      </c>
      <c r="G76" s="210"/>
      <c r="H76" s="210"/>
      <c r="I76" s="210"/>
      <c r="J76" s="210"/>
      <c r="K76" s="210"/>
      <c r="L76" s="210"/>
      <c r="M76" s="210"/>
      <c r="N76" s="210"/>
      <c r="O76" s="210"/>
      <c r="P76" s="210"/>
      <c r="Q76" s="214"/>
    </row>
    <row r="77" spans="2:17" ht="17.25" customHeight="1">
      <c r="F77" s="88"/>
      <c r="G77" s="88"/>
      <c r="H77" s="88"/>
      <c r="I77" s="88"/>
      <c r="J77" s="88"/>
      <c r="K77" s="88"/>
      <c r="L77" s="88"/>
      <c r="M77" s="88"/>
      <c r="N77" s="88"/>
      <c r="O77" s="88"/>
      <c r="P77" s="88"/>
      <c r="Q77" s="88"/>
    </row>
    <row r="78" spans="2:17">
      <c r="B78" s="89" t="s">
        <v>393</v>
      </c>
      <c r="C78" s="89" t="s">
        <v>394</v>
      </c>
      <c r="E78" s="90"/>
      <c r="F78" s="90" t="s">
        <v>395</v>
      </c>
      <c r="G78" s="90" t="s">
        <v>396</v>
      </c>
      <c r="H78" s="90" t="s">
        <v>397</v>
      </c>
      <c r="I78" s="90" t="s">
        <v>398</v>
      </c>
      <c r="J78" s="90" t="s">
        <v>399</v>
      </c>
      <c r="K78" s="90" t="s">
        <v>400</v>
      </c>
      <c r="L78" s="90" t="s">
        <v>401</v>
      </c>
      <c r="M78" s="90" t="s">
        <v>402</v>
      </c>
      <c r="N78" s="90" t="s">
        <v>403</v>
      </c>
      <c r="O78" s="90" t="s">
        <v>404</v>
      </c>
      <c r="P78" s="90" t="s">
        <v>405</v>
      </c>
      <c r="Q78" s="90" t="s">
        <v>406</v>
      </c>
    </row>
    <row r="79" spans="2:17" ht="17.25" customHeight="1">
      <c r="B79" s="82" t="s">
        <v>552</v>
      </c>
      <c r="C79" s="82" t="s">
        <v>553</v>
      </c>
      <c r="E79" s="90" t="s">
        <v>408</v>
      </c>
      <c r="F79" s="66" t="s">
        <v>244</v>
      </c>
      <c r="G79" s="66" t="s">
        <v>244</v>
      </c>
      <c r="H79" s="66" t="s">
        <v>244</v>
      </c>
      <c r="I79" s="66" t="s">
        <v>244</v>
      </c>
      <c r="J79" s="66" t="s">
        <v>244</v>
      </c>
      <c r="K79" s="66" t="s">
        <v>244</v>
      </c>
      <c r="L79" s="101" t="s">
        <v>66</v>
      </c>
      <c r="M79" s="101" t="s">
        <v>66</v>
      </c>
      <c r="N79" s="101" t="s">
        <v>66</v>
      </c>
      <c r="O79" s="101" t="s">
        <v>66</v>
      </c>
      <c r="P79" s="101" t="s">
        <v>66</v>
      </c>
      <c r="Q79" s="101" t="s">
        <v>66</v>
      </c>
    </row>
    <row r="80" spans="2:17">
      <c r="B80" s="86"/>
      <c r="E80" s="90" t="s">
        <v>409</v>
      </c>
      <c r="L80" s="102" t="s">
        <v>410</v>
      </c>
      <c r="M80" s="102" t="s">
        <v>410</v>
      </c>
      <c r="N80" s="102" t="s">
        <v>410</v>
      </c>
      <c r="O80" s="102" t="s">
        <v>410</v>
      </c>
      <c r="P80" s="102" t="s">
        <v>410</v>
      </c>
      <c r="Q80" s="102" t="s">
        <v>410</v>
      </c>
    </row>
    <row r="81" spans="2:17">
      <c r="B81" s="86"/>
      <c r="E81" s="90" t="s">
        <v>386</v>
      </c>
      <c r="F81" s="212" t="s">
        <v>202</v>
      </c>
      <c r="G81" s="212"/>
      <c r="H81" s="212"/>
      <c r="I81" s="212"/>
      <c r="J81" s="212"/>
      <c r="K81" s="212"/>
      <c r="L81" s="212"/>
      <c r="M81" s="212"/>
      <c r="N81" s="212"/>
      <c r="O81" s="212"/>
      <c r="P81" s="212"/>
      <c r="Q81" s="212"/>
    </row>
    <row r="82" spans="2:17">
      <c r="B82" s="86"/>
      <c r="E82" s="90" t="s">
        <v>389</v>
      </c>
      <c r="F82" s="212" t="s">
        <v>203</v>
      </c>
      <c r="G82" s="212"/>
      <c r="H82" s="212"/>
      <c r="I82" s="212"/>
      <c r="J82" s="212"/>
      <c r="K82" s="212"/>
      <c r="L82" s="212"/>
      <c r="M82" s="212"/>
      <c r="N82" s="212"/>
      <c r="O82" s="212"/>
      <c r="P82" s="212"/>
      <c r="Q82" s="212"/>
    </row>
    <row r="83" spans="2:17" ht="17.25" customHeight="1">
      <c r="B83" s="86"/>
      <c r="E83" s="90" t="s">
        <v>413</v>
      </c>
      <c r="F83" s="213" t="s">
        <v>540</v>
      </c>
      <c r="G83" s="210"/>
      <c r="H83" s="210"/>
      <c r="I83" s="210"/>
      <c r="J83" s="210"/>
      <c r="K83" s="210"/>
      <c r="L83" s="210"/>
      <c r="M83" s="210"/>
      <c r="N83" s="210"/>
      <c r="O83" s="210"/>
      <c r="P83" s="210"/>
      <c r="Q83" s="214"/>
    </row>
    <row r="84" spans="2:17" ht="17.25" customHeight="1">
      <c r="B84" s="86"/>
      <c r="F84" s="88"/>
      <c r="G84" s="88"/>
      <c r="H84" s="88"/>
      <c r="I84" s="88"/>
      <c r="J84" s="88"/>
      <c r="K84" s="88"/>
      <c r="L84" s="88"/>
      <c r="M84" s="88"/>
      <c r="N84" s="88"/>
      <c r="O84" s="88"/>
      <c r="P84" s="88"/>
      <c r="Q84" s="88"/>
    </row>
    <row r="85" spans="2:17">
      <c r="B85" s="89" t="s">
        <v>393</v>
      </c>
      <c r="C85" s="89" t="s">
        <v>394</v>
      </c>
      <c r="E85" s="90"/>
      <c r="F85" s="90" t="s">
        <v>395</v>
      </c>
      <c r="G85" s="90" t="s">
        <v>396</v>
      </c>
      <c r="H85" s="90" t="s">
        <v>397</v>
      </c>
      <c r="I85" s="90" t="s">
        <v>398</v>
      </c>
      <c r="J85" s="90" t="s">
        <v>399</v>
      </c>
      <c r="K85" s="90" t="s">
        <v>400</v>
      </c>
      <c r="L85" s="90" t="s">
        <v>401</v>
      </c>
      <c r="M85" s="90" t="s">
        <v>402</v>
      </c>
      <c r="N85" s="90" t="s">
        <v>403</v>
      </c>
      <c r="O85" s="90" t="s">
        <v>404</v>
      </c>
      <c r="P85" s="90" t="s">
        <v>405</v>
      </c>
      <c r="Q85" s="90" t="s">
        <v>406</v>
      </c>
    </row>
    <row r="86" spans="2:17" ht="17.25" customHeight="1">
      <c r="B86" s="82" t="s">
        <v>554</v>
      </c>
      <c r="C86" s="82" t="s">
        <v>259</v>
      </c>
      <c r="E86" s="90" t="s">
        <v>408</v>
      </c>
      <c r="F86" s="66" t="s">
        <v>244</v>
      </c>
      <c r="G86" s="66" t="s">
        <v>244</v>
      </c>
      <c r="H86" s="101" t="s">
        <v>66</v>
      </c>
      <c r="I86" s="224" t="s">
        <v>261</v>
      </c>
      <c r="J86" s="225"/>
      <c r="K86" s="225"/>
      <c r="L86" s="225"/>
      <c r="M86" s="225"/>
      <c r="N86" s="225"/>
      <c r="O86" s="225"/>
      <c r="P86" s="225"/>
      <c r="Q86" s="226"/>
    </row>
    <row r="87" spans="2:17">
      <c r="B87" s="86"/>
      <c r="E87" s="90" t="s">
        <v>409</v>
      </c>
      <c r="H87" s="102" t="s">
        <v>410</v>
      </c>
      <c r="I87" s="203" t="s">
        <v>449</v>
      </c>
      <c r="J87" s="204"/>
      <c r="K87" s="204"/>
      <c r="L87" s="204"/>
      <c r="M87" s="204"/>
      <c r="N87" s="204"/>
      <c r="O87" s="204"/>
      <c r="P87" s="204"/>
      <c r="Q87" s="205"/>
    </row>
    <row r="88" spans="2:17">
      <c r="B88" s="86"/>
      <c r="E88" s="90" t="s">
        <v>386</v>
      </c>
      <c r="F88" s="212" t="s">
        <v>202</v>
      </c>
      <c r="G88" s="212"/>
      <c r="H88" s="212"/>
      <c r="I88" s="212"/>
      <c r="J88" s="212"/>
      <c r="K88" s="212"/>
      <c r="L88" s="212"/>
      <c r="M88" s="212"/>
      <c r="N88" s="212"/>
      <c r="O88" s="212"/>
      <c r="P88" s="212"/>
      <c r="Q88" s="212"/>
    </row>
    <row r="89" spans="2:17">
      <c r="B89" s="86"/>
      <c r="E89" s="90" t="s">
        <v>389</v>
      </c>
      <c r="F89" s="212" t="s">
        <v>203</v>
      </c>
      <c r="G89" s="212"/>
      <c r="H89" s="212"/>
      <c r="I89" s="212"/>
      <c r="J89" s="212"/>
      <c r="K89" s="212"/>
      <c r="L89" s="212"/>
      <c r="M89" s="212"/>
      <c r="N89" s="212"/>
      <c r="O89" s="212"/>
      <c r="P89" s="212"/>
      <c r="Q89" s="212"/>
    </row>
    <row r="90" spans="2:17" ht="17.25" customHeight="1">
      <c r="B90" s="86"/>
      <c r="E90" s="90" t="s">
        <v>413</v>
      </c>
      <c r="F90" s="213" t="s">
        <v>540</v>
      </c>
      <c r="G90" s="210"/>
      <c r="H90" s="210"/>
      <c r="I90" s="210"/>
      <c r="J90" s="210"/>
      <c r="K90" s="210"/>
      <c r="L90" s="210"/>
      <c r="M90" s="210"/>
      <c r="N90" s="210"/>
      <c r="O90" s="210"/>
      <c r="P90" s="210"/>
      <c r="Q90" s="214"/>
    </row>
    <row r="92" spans="2:17">
      <c r="B92" s="89" t="s">
        <v>393</v>
      </c>
      <c r="C92" s="89" t="s">
        <v>394</v>
      </c>
      <c r="E92" s="90"/>
      <c r="F92" s="90" t="s">
        <v>395</v>
      </c>
      <c r="G92" s="90" t="s">
        <v>396</v>
      </c>
      <c r="H92" s="90" t="s">
        <v>397</v>
      </c>
      <c r="I92" s="90" t="s">
        <v>398</v>
      </c>
      <c r="J92" s="90" t="s">
        <v>399</v>
      </c>
      <c r="K92" s="90" t="s">
        <v>400</v>
      </c>
      <c r="L92" s="90" t="s">
        <v>401</v>
      </c>
      <c r="M92" s="90" t="s">
        <v>402</v>
      </c>
      <c r="N92" s="90" t="s">
        <v>403</v>
      </c>
      <c r="O92" s="90" t="s">
        <v>404</v>
      </c>
      <c r="P92" s="90" t="s">
        <v>405</v>
      </c>
      <c r="Q92" s="90" t="s">
        <v>406</v>
      </c>
    </row>
    <row r="93" spans="2:17" ht="17.25" customHeight="1">
      <c r="B93" s="82" t="s">
        <v>555</v>
      </c>
      <c r="C93" s="82" t="s">
        <v>262</v>
      </c>
      <c r="E93" s="90" t="s">
        <v>408</v>
      </c>
      <c r="F93" s="66" t="s">
        <v>244</v>
      </c>
      <c r="G93" s="66" t="s">
        <v>244</v>
      </c>
      <c r="H93" s="66" t="s">
        <v>244</v>
      </c>
      <c r="I93" s="66" t="s">
        <v>244</v>
      </c>
      <c r="J93" s="66" t="s">
        <v>244</v>
      </c>
      <c r="K93" s="66" t="s">
        <v>244</v>
      </c>
      <c r="L93" s="101" t="s">
        <v>66</v>
      </c>
      <c r="M93" s="224" t="s">
        <v>264</v>
      </c>
      <c r="N93" s="225"/>
      <c r="O93" s="225"/>
      <c r="P93" s="225"/>
      <c r="Q93" s="226"/>
    </row>
    <row r="94" spans="2:17">
      <c r="B94" s="86"/>
      <c r="E94" s="90" t="s">
        <v>409</v>
      </c>
      <c r="L94" s="102" t="s">
        <v>410</v>
      </c>
      <c r="M94" s="203" t="s">
        <v>556</v>
      </c>
      <c r="N94" s="204"/>
      <c r="O94" s="204"/>
      <c r="P94" s="204"/>
      <c r="Q94" s="205"/>
    </row>
    <row r="95" spans="2:17">
      <c r="B95" s="86"/>
      <c r="E95" s="90" t="s">
        <v>386</v>
      </c>
      <c r="F95" s="212" t="s">
        <v>202</v>
      </c>
      <c r="G95" s="212"/>
      <c r="H95" s="212"/>
      <c r="I95" s="212"/>
      <c r="J95" s="212"/>
      <c r="K95" s="212"/>
      <c r="L95" s="212"/>
      <c r="M95" s="212"/>
      <c r="N95" s="212"/>
      <c r="O95" s="212"/>
      <c r="P95" s="212"/>
      <c r="Q95" s="212"/>
    </row>
    <row r="96" spans="2:17">
      <c r="B96" s="86"/>
      <c r="E96" s="90" t="s">
        <v>389</v>
      </c>
      <c r="F96" s="212" t="s">
        <v>203</v>
      </c>
      <c r="G96" s="212"/>
      <c r="H96" s="212"/>
      <c r="I96" s="212"/>
      <c r="J96" s="212"/>
      <c r="K96" s="212"/>
      <c r="L96" s="212"/>
      <c r="M96" s="212"/>
      <c r="N96" s="212"/>
      <c r="O96" s="212"/>
      <c r="P96" s="212"/>
      <c r="Q96" s="212"/>
    </row>
    <row r="97" spans="2:17" ht="17.25" customHeight="1">
      <c r="B97" s="86"/>
      <c r="E97" s="90" t="s">
        <v>413</v>
      </c>
      <c r="F97" s="213" t="s">
        <v>540</v>
      </c>
      <c r="G97" s="210"/>
      <c r="H97" s="210"/>
      <c r="I97" s="210"/>
      <c r="J97" s="210"/>
      <c r="K97" s="210"/>
      <c r="L97" s="210"/>
      <c r="M97" s="210"/>
      <c r="N97" s="210"/>
      <c r="O97" s="210"/>
      <c r="P97" s="210"/>
      <c r="Q97" s="214"/>
    </row>
    <row r="98" spans="2:17" ht="17.25" customHeight="1">
      <c r="B98" s="86"/>
      <c r="F98" s="88"/>
      <c r="G98" s="88"/>
      <c r="H98" s="88"/>
      <c r="I98" s="88"/>
      <c r="J98" s="88"/>
      <c r="K98" s="88"/>
      <c r="L98" s="88"/>
      <c r="M98" s="88"/>
      <c r="N98" s="88"/>
      <c r="O98" s="88"/>
      <c r="P98" s="88"/>
      <c r="Q98" s="88"/>
    </row>
    <row r="99" spans="2:17">
      <c r="B99" s="89" t="s">
        <v>393</v>
      </c>
      <c r="C99" s="89" t="s">
        <v>394</v>
      </c>
      <c r="E99" s="90"/>
      <c r="F99" s="90" t="s">
        <v>395</v>
      </c>
      <c r="G99" s="90" t="s">
        <v>396</v>
      </c>
      <c r="H99" s="90" t="s">
        <v>397</v>
      </c>
      <c r="I99" s="90" t="s">
        <v>398</v>
      </c>
      <c r="J99" s="90" t="s">
        <v>399</v>
      </c>
      <c r="K99" s="90" t="s">
        <v>400</v>
      </c>
      <c r="L99" s="90" t="s">
        <v>401</v>
      </c>
      <c r="M99" s="90" t="s">
        <v>402</v>
      </c>
      <c r="N99" s="90" t="s">
        <v>403</v>
      </c>
      <c r="O99" s="90" t="s">
        <v>404</v>
      </c>
      <c r="P99" s="90" t="s">
        <v>405</v>
      </c>
      <c r="Q99" s="90" t="s">
        <v>406</v>
      </c>
    </row>
    <row r="100" spans="2:17" ht="16.5" customHeight="1">
      <c r="B100" s="82" t="s">
        <v>557</v>
      </c>
      <c r="C100" s="82" t="s">
        <v>266</v>
      </c>
      <c r="E100" s="90" t="s">
        <v>408</v>
      </c>
      <c r="F100" s="66" t="s">
        <v>244</v>
      </c>
      <c r="G100" s="101" t="s">
        <v>66</v>
      </c>
      <c r="H100" s="101" t="s">
        <v>66</v>
      </c>
      <c r="I100" s="101" t="s">
        <v>66</v>
      </c>
      <c r="J100" s="218" t="s">
        <v>268</v>
      </c>
      <c r="K100" s="218"/>
      <c r="L100" s="218"/>
      <c r="M100" s="218"/>
      <c r="N100" s="218"/>
      <c r="O100" s="218"/>
      <c r="P100" s="218"/>
      <c r="Q100" s="218"/>
    </row>
    <row r="101" spans="2:17">
      <c r="E101" s="90" t="s">
        <v>409</v>
      </c>
      <c r="G101" s="102" t="s">
        <v>410</v>
      </c>
      <c r="H101" s="102" t="s">
        <v>410</v>
      </c>
      <c r="I101" s="102" t="s">
        <v>410</v>
      </c>
      <c r="J101" s="203" t="s">
        <v>558</v>
      </c>
      <c r="K101" s="204"/>
      <c r="L101" s="204"/>
      <c r="M101" s="204"/>
      <c r="N101" s="204"/>
      <c r="O101" s="204"/>
      <c r="P101" s="204"/>
      <c r="Q101" s="205"/>
    </row>
    <row r="102" spans="2:17">
      <c r="E102" s="90" t="s">
        <v>386</v>
      </c>
      <c r="F102" s="212" t="s">
        <v>202</v>
      </c>
      <c r="G102" s="212"/>
      <c r="H102" s="212"/>
      <c r="I102" s="212"/>
      <c r="J102" s="212"/>
      <c r="K102" s="212"/>
      <c r="L102" s="212"/>
      <c r="M102" s="212"/>
      <c r="N102" s="212"/>
      <c r="O102" s="212"/>
      <c r="P102" s="212"/>
      <c r="Q102" s="212"/>
    </row>
    <row r="103" spans="2:17">
      <c r="E103" s="90" t="s">
        <v>389</v>
      </c>
      <c r="F103" s="212" t="s">
        <v>203</v>
      </c>
      <c r="G103" s="212"/>
      <c r="H103" s="212"/>
      <c r="I103" s="212"/>
      <c r="J103" s="212"/>
      <c r="K103" s="212"/>
      <c r="L103" s="212"/>
      <c r="M103" s="212"/>
      <c r="N103" s="212"/>
      <c r="O103" s="212"/>
      <c r="P103" s="212"/>
      <c r="Q103" s="212"/>
    </row>
    <row r="104" spans="2:17" ht="27" customHeight="1">
      <c r="E104" s="90" t="s">
        <v>413</v>
      </c>
      <c r="F104" s="227" t="s">
        <v>559</v>
      </c>
      <c r="G104" s="227"/>
      <c r="H104" s="227"/>
      <c r="I104" s="227"/>
      <c r="J104" s="227"/>
      <c r="K104" s="227"/>
      <c r="L104" s="227"/>
      <c r="M104" s="227"/>
      <c r="N104" s="227"/>
      <c r="O104" s="227"/>
      <c r="P104" s="227"/>
      <c r="Q104" s="227"/>
    </row>
    <row r="106" spans="2:17">
      <c r="B106" s="89" t="s">
        <v>393</v>
      </c>
      <c r="C106" s="89" t="s">
        <v>394</v>
      </c>
      <c r="E106" s="90"/>
      <c r="F106" s="90" t="s">
        <v>395</v>
      </c>
      <c r="G106" s="90" t="s">
        <v>396</v>
      </c>
      <c r="H106" s="90" t="s">
        <v>397</v>
      </c>
      <c r="I106" s="90" t="s">
        <v>398</v>
      </c>
      <c r="J106" s="90" t="s">
        <v>399</v>
      </c>
      <c r="K106" s="90" t="s">
        <v>400</v>
      </c>
      <c r="L106" s="90" t="s">
        <v>401</v>
      </c>
      <c r="M106" s="90" t="s">
        <v>402</v>
      </c>
      <c r="N106" s="90" t="s">
        <v>403</v>
      </c>
      <c r="O106" s="90" t="s">
        <v>404</v>
      </c>
      <c r="P106" s="90" t="s">
        <v>405</v>
      </c>
      <c r="Q106" s="90" t="s">
        <v>406</v>
      </c>
    </row>
    <row r="107" spans="2:17" ht="16.5" customHeight="1">
      <c r="B107" s="82" t="s">
        <v>560</v>
      </c>
      <c r="C107" s="82" t="s">
        <v>270</v>
      </c>
      <c r="E107" s="90" t="s">
        <v>408</v>
      </c>
      <c r="F107" s="66" t="s">
        <v>244</v>
      </c>
      <c r="G107" s="101" t="s">
        <v>66</v>
      </c>
      <c r="H107" s="101" t="s">
        <v>66</v>
      </c>
      <c r="I107" s="101" t="s">
        <v>66</v>
      </c>
      <c r="J107" s="218" t="s">
        <v>268</v>
      </c>
      <c r="K107" s="218"/>
      <c r="L107" s="218"/>
      <c r="M107" s="218"/>
      <c r="N107" s="218"/>
      <c r="O107" s="218"/>
      <c r="P107" s="218"/>
      <c r="Q107" s="218"/>
    </row>
    <row r="108" spans="2:17">
      <c r="E108" s="90" t="s">
        <v>409</v>
      </c>
      <c r="G108" s="102" t="s">
        <v>410</v>
      </c>
      <c r="H108" s="102" t="s">
        <v>410</v>
      </c>
      <c r="I108" s="102" t="s">
        <v>410</v>
      </c>
      <c r="J108" s="203" t="s">
        <v>558</v>
      </c>
      <c r="K108" s="204"/>
      <c r="L108" s="204"/>
      <c r="M108" s="204"/>
      <c r="N108" s="204"/>
      <c r="O108" s="204"/>
      <c r="P108" s="204"/>
      <c r="Q108" s="205"/>
    </row>
    <row r="109" spans="2:17">
      <c r="E109" s="90" t="s">
        <v>386</v>
      </c>
      <c r="F109" s="212" t="s">
        <v>202</v>
      </c>
      <c r="G109" s="212"/>
      <c r="H109" s="212"/>
      <c r="I109" s="212"/>
      <c r="J109" s="212"/>
      <c r="K109" s="212"/>
      <c r="L109" s="212"/>
      <c r="M109" s="212"/>
      <c r="N109" s="212"/>
      <c r="O109" s="212"/>
      <c r="P109" s="212"/>
      <c r="Q109" s="212"/>
    </row>
    <row r="110" spans="2:17">
      <c r="E110" s="90" t="s">
        <v>389</v>
      </c>
      <c r="F110" s="212" t="s">
        <v>203</v>
      </c>
      <c r="G110" s="212"/>
      <c r="H110" s="212"/>
      <c r="I110" s="212"/>
      <c r="J110" s="212"/>
      <c r="K110" s="212"/>
      <c r="L110" s="212"/>
      <c r="M110" s="212"/>
      <c r="N110" s="212"/>
      <c r="O110" s="212"/>
      <c r="P110" s="212"/>
      <c r="Q110" s="212"/>
    </row>
    <row r="111" spans="2:17">
      <c r="B111" s="86"/>
      <c r="E111" s="90" t="s">
        <v>413</v>
      </c>
      <c r="F111" s="227" t="s">
        <v>561</v>
      </c>
      <c r="G111" s="227"/>
      <c r="H111" s="227"/>
      <c r="I111" s="227"/>
      <c r="J111" s="227"/>
      <c r="K111" s="227"/>
      <c r="L111" s="227"/>
      <c r="M111" s="227"/>
      <c r="N111" s="227"/>
      <c r="O111" s="227"/>
      <c r="P111" s="227"/>
      <c r="Q111" s="227"/>
    </row>
    <row r="113" spans="2:17">
      <c r="B113" s="89" t="s">
        <v>393</v>
      </c>
      <c r="C113" s="89" t="s">
        <v>394</v>
      </c>
      <c r="E113" s="90"/>
      <c r="F113" s="90" t="s">
        <v>395</v>
      </c>
      <c r="G113" s="90" t="s">
        <v>396</v>
      </c>
      <c r="H113" s="90" t="s">
        <v>397</v>
      </c>
      <c r="I113" s="90" t="s">
        <v>398</v>
      </c>
      <c r="J113" s="90" t="s">
        <v>399</v>
      </c>
      <c r="K113" s="90" t="s">
        <v>400</v>
      </c>
      <c r="L113" s="90" t="s">
        <v>401</v>
      </c>
      <c r="M113" s="90" t="s">
        <v>402</v>
      </c>
      <c r="N113" s="90" t="s">
        <v>403</v>
      </c>
      <c r="O113" s="90" t="s">
        <v>404</v>
      </c>
      <c r="P113" s="90" t="s">
        <v>405</v>
      </c>
      <c r="Q113" s="90" t="s">
        <v>406</v>
      </c>
    </row>
    <row r="114" spans="2:17" ht="17" customHeight="1">
      <c r="B114" s="82" t="s">
        <v>562</v>
      </c>
      <c r="C114" s="82" t="s">
        <v>273</v>
      </c>
      <c r="E114" s="90" t="s">
        <v>408</v>
      </c>
      <c r="F114" s="66" t="s">
        <v>244</v>
      </c>
      <c r="G114" s="101" t="s">
        <v>66</v>
      </c>
      <c r="H114" s="101" t="s">
        <v>66</v>
      </c>
      <c r="I114" s="101" t="s">
        <v>66</v>
      </c>
      <c r="J114" s="218" t="s">
        <v>268</v>
      </c>
      <c r="K114" s="218"/>
      <c r="L114" s="218"/>
      <c r="M114" s="218"/>
      <c r="N114" s="218"/>
      <c r="O114" s="218"/>
      <c r="P114" s="218"/>
      <c r="Q114" s="218"/>
    </row>
    <row r="115" spans="2:17">
      <c r="E115" s="90" t="s">
        <v>409</v>
      </c>
      <c r="G115" s="102" t="s">
        <v>410</v>
      </c>
      <c r="H115" s="102" t="s">
        <v>410</v>
      </c>
      <c r="I115" s="102" t="s">
        <v>410</v>
      </c>
      <c r="J115" s="203" t="s">
        <v>558</v>
      </c>
      <c r="K115" s="204"/>
      <c r="L115" s="204"/>
      <c r="M115" s="204"/>
      <c r="N115" s="204"/>
      <c r="O115" s="204"/>
      <c r="P115" s="204"/>
      <c r="Q115" s="205"/>
    </row>
    <row r="116" spans="2:17">
      <c r="E116" s="90" t="s">
        <v>386</v>
      </c>
      <c r="F116" s="212" t="s">
        <v>202</v>
      </c>
      <c r="G116" s="212"/>
      <c r="H116" s="212"/>
      <c r="I116" s="212"/>
      <c r="J116" s="212"/>
      <c r="K116" s="212"/>
      <c r="L116" s="212"/>
      <c r="M116" s="212"/>
      <c r="N116" s="212"/>
      <c r="O116" s="212"/>
      <c r="P116" s="212"/>
      <c r="Q116" s="212"/>
    </row>
    <row r="117" spans="2:17">
      <c r="E117" s="90" t="s">
        <v>389</v>
      </c>
      <c r="F117" s="212" t="s">
        <v>203</v>
      </c>
      <c r="G117" s="212"/>
      <c r="H117" s="212"/>
      <c r="I117" s="212"/>
      <c r="J117" s="212"/>
      <c r="K117" s="212"/>
      <c r="L117" s="212"/>
      <c r="M117" s="212"/>
      <c r="N117" s="212"/>
      <c r="O117" s="212"/>
      <c r="P117" s="212"/>
      <c r="Q117" s="212"/>
    </row>
    <row r="118" spans="2:17" ht="17.25" customHeight="1">
      <c r="E118" s="90" t="s">
        <v>413</v>
      </c>
      <c r="F118" s="227" t="s">
        <v>561</v>
      </c>
      <c r="G118" s="227"/>
      <c r="H118" s="227"/>
      <c r="I118" s="227"/>
      <c r="J118" s="227"/>
      <c r="K118" s="227"/>
      <c r="L118" s="227"/>
      <c r="M118" s="227"/>
      <c r="N118" s="227"/>
      <c r="O118" s="227"/>
      <c r="P118" s="227"/>
      <c r="Q118" s="227"/>
    </row>
    <row r="120" spans="2:17">
      <c r="B120" s="89" t="s">
        <v>393</v>
      </c>
      <c r="C120" s="89" t="s">
        <v>394</v>
      </c>
      <c r="E120" s="90"/>
      <c r="F120" s="90" t="s">
        <v>395</v>
      </c>
      <c r="G120" s="90" t="s">
        <v>396</v>
      </c>
      <c r="H120" s="90" t="s">
        <v>397</v>
      </c>
      <c r="I120" s="90" t="s">
        <v>398</v>
      </c>
      <c r="J120" s="90" t="s">
        <v>399</v>
      </c>
      <c r="K120" s="90" t="s">
        <v>400</v>
      </c>
      <c r="L120" s="90" t="s">
        <v>401</v>
      </c>
      <c r="M120" s="90" t="s">
        <v>402</v>
      </c>
      <c r="N120" s="90" t="s">
        <v>403</v>
      </c>
      <c r="O120" s="90" t="s">
        <v>404</v>
      </c>
      <c r="P120" s="90" t="s">
        <v>405</v>
      </c>
      <c r="Q120" s="90" t="s">
        <v>406</v>
      </c>
    </row>
    <row r="121" spans="2:17" ht="17.25" customHeight="1">
      <c r="B121" s="82" t="s">
        <v>563</v>
      </c>
      <c r="C121" s="82" t="s">
        <v>276</v>
      </c>
      <c r="E121" s="90" t="s">
        <v>408</v>
      </c>
      <c r="F121" s="66" t="s">
        <v>564</v>
      </c>
      <c r="G121" s="101" t="s">
        <v>66</v>
      </c>
      <c r="H121" s="218" t="s">
        <v>278</v>
      </c>
      <c r="I121" s="218"/>
      <c r="J121" s="218"/>
      <c r="K121" s="218"/>
      <c r="L121" s="218"/>
      <c r="M121" s="218"/>
      <c r="N121" s="218"/>
      <c r="O121" s="218"/>
      <c r="P121" s="218"/>
      <c r="Q121" s="218"/>
    </row>
    <row r="122" spans="2:17">
      <c r="B122" s="86"/>
      <c r="E122" s="90" t="s">
        <v>409</v>
      </c>
      <c r="G122" s="102" t="s">
        <v>410</v>
      </c>
      <c r="H122" s="203" t="s">
        <v>420</v>
      </c>
      <c r="I122" s="204"/>
      <c r="J122" s="204"/>
      <c r="K122" s="204"/>
      <c r="L122" s="204"/>
      <c r="M122" s="204"/>
      <c r="N122" s="204"/>
      <c r="O122" s="204"/>
      <c r="P122" s="204"/>
      <c r="Q122" s="205"/>
    </row>
    <row r="123" spans="2:17">
      <c r="B123" s="86"/>
      <c r="E123" s="90" t="s">
        <v>386</v>
      </c>
      <c r="F123" s="212" t="s">
        <v>202</v>
      </c>
      <c r="G123" s="212"/>
      <c r="H123" s="212"/>
      <c r="I123" s="212"/>
      <c r="J123" s="212"/>
      <c r="K123" s="212"/>
      <c r="L123" s="212"/>
      <c r="M123" s="212"/>
      <c r="N123" s="212"/>
      <c r="O123" s="212"/>
      <c r="P123" s="212"/>
      <c r="Q123" s="212"/>
    </row>
    <row r="124" spans="2:17">
      <c r="B124" s="86"/>
      <c r="E124" s="90" t="s">
        <v>389</v>
      </c>
      <c r="F124" s="212" t="s">
        <v>203</v>
      </c>
      <c r="G124" s="212"/>
      <c r="H124" s="212"/>
      <c r="I124" s="212"/>
      <c r="J124" s="212"/>
      <c r="K124" s="212"/>
      <c r="L124" s="212"/>
      <c r="M124" s="212"/>
      <c r="N124" s="212"/>
      <c r="O124" s="212"/>
      <c r="P124" s="212"/>
      <c r="Q124" s="212"/>
    </row>
    <row r="125" spans="2:17" ht="17.25" customHeight="1">
      <c r="B125" s="86"/>
      <c r="E125" s="90" t="s">
        <v>413</v>
      </c>
      <c r="F125" s="227" t="s">
        <v>561</v>
      </c>
      <c r="G125" s="227"/>
      <c r="H125" s="227"/>
      <c r="I125" s="227"/>
      <c r="J125" s="227"/>
      <c r="K125" s="227"/>
      <c r="L125" s="227"/>
      <c r="M125" s="227"/>
      <c r="N125" s="227"/>
      <c r="O125" s="227"/>
      <c r="P125" s="227"/>
      <c r="Q125" s="227"/>
    </row>
    <row r="127" spans="2:17">
      <c r="B127" s="89" t="s">
        <v>393</v>
      </c>
      <c r="C127" s="89" t="s">
        <v>394</v>
      </c>
      <c r="E127" s="90"/>
      <c r="F127" s="90" t="s">
        <v>395</v>
      </c>
      <c r="G127" s="90" t="s">
        <v>396</v>
      </c>
      <c r="H127" s="90" t="s">
        <v>397</v>
      </c>
      <c r="I127" s="90" t="s">
        <v>398</v>
      </c>
      <c r="J127" s="90" t="s">
        <v>399</v>
      </c>
      <c r="K127" s="90" t="s">
        <v>400</v>
      </c>
      <c r="L127" s="90" t="s">
        <v>401</v>
      </c>
      <c r="M127" s="90" t="s">
        <v>402</v>
      </c>
      <c r="N127" s="90" t="s">
        <v>403</v>
      </c>
      <c r="O127" s="90" t="s">
        <v>404</v>
      </c>
      <c r="P127" s="90" t="s">
        <v>405</v>
      </c>
      <c r="Q127" s="90" t="s">
        <v>406</v>
      </c>
    </row>
    <row r="128" spans="2:17" ht="16.5" customHeight="1">
      <c r="B128" s="82" t="s">
        <v>565</v>
      </c>
      <c r="C128" s="82" t="s">
        <v>279</v>
      </c>
      <c r="E128" s="90" t="s">
        <v>408</v>
      </c>
      <c r="F128" s="66" t="s">
        <v>564</v>
      </c>
      <c r="G128" s="101" t="s">
        <v>66</v>
      </c>
      <c r="H128" s="218" t="s">
        <v>281</v>
      </c>
      <c r="I128" s="218"/>
      <c r="J128" s="218"/>
      <c r="K128" s="218"/>
      <c r="L128" s="218"/>
      <c r="M128" s="218"/>
      <c r="N128" s="218"/>
      <c r="O128" s="218"/>
      <c r="P128" s="218"/>
      <c r="Q128" s="218"/>
    </row>
    <row r="129" spans="2:17">
      <c r="E129" s="90" t="s">
        <v>409</v>
      </c>
      <c r="G129" s="102" t="s">
        <v>410</v>
      </c>
      <c r="H129" s="203" t="s">
        <v>420</v>
      </c>
      <c r="I129" s="204"/>
      <c r="J129" s="204"/>
      <c r="K129" s="204"/>
      <c r="L129" s="204"/>
      <c r="M129" s="204"/>
      <c r="N129" s="204"/>
      <c r="O129" s="204"/>
      <c r="P129" s="204"/>
      <c r="Q129" s="205"/>
    </row>
    <row r="130" spans="2:17">
      <c r="E130" s="90" t="s">
        <v>386</v>
      </c>
      <c r="F130" s="212" t="s">
        <v>202</v>
      </c>
      <c r="G130" s="212"/>
      <c r="H130" s="212"/>
      <c r="I130" s="212"/>
      <c r="J130" s="212"/>
      <c r="K130" s="212"/>
      <c r="L130" s="212"/>
      <c r="M130" s="212"/>
      <c r="N130" s="212"/>
      <c r="O130" s="212"/>
      <c r="P130" s="212"/>
      <c r="Q130" s="212"/>
    </row>
    <row r="131" spans="2:17">
      <c r="E131" s="90" t="s">
        <v>389</v>
      </c>
      <c r="F131" s="212" t="s">
        <v>203</v>
      </c>
      <c r="G131" s="212"/>
      <c r="H131" s="212"/>
      <c r="I131" s="212"/>
      <c r="J131" s="212"/>
      <c r="K131" s="212"/>
      <c r="L131" s="212"/>
      <c r="M131" s="212"/>
      <c r="N131" s="212"/>
      <c r="O131" s="212"/>
      <c r="P131" s="212"/>
      <c r="Q131" s="212"/>
    </row>
    <row r="132" spans="2:17" ht="17.25" customHeight="1">
      <c r="E132" s="90" t="s">
        <v>413</v>
      </c>
      <c r="F132" s="227" t="s">
        <v>561</v>
      </c>
      <c r="G132" s="227"/>
      <c r="H132" s="227"/>
      <c r="I132" s="227"/>
      <c r="J132" s="227"/>
      <c r="K132" s="227"/>
      <c r="L132" s="227"/>
      <c r="M132" s="227"/>
      <c r="N132" s="227"/>
      <c r="O132" s="227"/>
      <c r="P132" s="227"/>
      <c r="Q132" s="227"/>
    </row>
    <row r="133" spans="2:17" ht="17.25" customHeight="1">
      <c r="D133" s="88"/>
      <c r="E133" s="88"/>
      <c r="F133" s="88"/>
      <c r="G133" s="88"/>
      <c r="H133" s="88"/>
      <c r="I133" s="88"/>
      <c r="J133" s="88"/>
      <c r="K133" s="88"/>
      <c r="L133" s="88"/>
      <c r="M133" s="88"/>
      <c r="N133" s="88"/>
      <c r="O133" s="88"/>
      <c r="P133" s="88"/>
      <c r="Q133" s="88"/>
    </row>
    <row r="134" spans="2:17" ht="17.25" customHeight="1">
      <c r="B134" s="96" t="s">
        <v>566</v>
      </c>
      <c r="C134" s="97"/>
      <c r="D134" s="98"/>
      <c r="E134" s="99"/>
      <c r="F134" s="100"/>
      <c r="G134" s="100"/>
      <c r="H134" s="100"/>
      <c r="I134" s="100"/>
      <c r="J134" s="100"/>
      <c r="K134" s="100"/>
      <c r="L134" s="100"/>
      <c r="M134" s="100"/>
      <c r="N134" s="100"/>
      <c r="O134" s="100"/>
      <c r="P134" s="100"/>
      <c r="Q134" s="100"/>
    </row>
    <row r="135" spans="2:17">
      <c r="B135" s="89" t="s">
        <v>393</v>
      </c>
      <c r="C135" s="89" t="s">
        <v>394</v>
      </c>
      <c r="E135" s="90"/>
      <c r="F135" s="90" t="s">
        <v>395</v>
      </c>
      <c r="G135" s="90" t="s">
        <v>396</v>
      </c>
      <c r="H135" s="90" t="s">
        <v>397</v>
      </c>
      <c r="I135" s="90" t="s">
        <v>398</v>
      </c>
      <c r="J135" s="90" t="s">
        <v>399</v>
      </c>
      <c r="K135" s="90" t="s">
        <v>400</v>
      </c>
      <c r="L135" s="90" t="s">
        <v>401</v>
      </c>
      <c r="M135" s="90" t="s">
        <v>402</v>
      </c>
      <c r="N135" s="90" t="s">
        <v>403</v>
      </c>
      <c r="O135" s="90" t="s">
        <v>404</v>
      </c>
      <c r="P135" s="90" t="s">
        <v>405</v>
      </c>
      <c r="Q135" s="90" t="s">
        <v>406</v>
      </c>
    </row>
    <row r="136" spans="2:17">
      <c r="B136" s="82" t="s">
        <v>567</v>
      </c>
      <c r="C136" s="82" t="s">
        <v>284</v>
      </c>
      <c r="E136" s="90" t="s">
        <v>408</v>
      </c>
      <c r="F136" s="218" t="s">
        <v>286</v>
      </c>
      <c r="G136" s="218"/>
      <c r="H136" s="218"/>
      <c r="I136" s="218"/>
      <c r="J136" s="218"/>
      <c r="K136" s="218"/>
      <c r="L136" s="218"/>
      <c r="M136" s="218"/>
      <c r="N136" s="218"/>
      <c r="O136" s="218"/>
      <c r="P136" s="218"/>
      <c r="Q136" s="218"/>
    </row>
    <row r="137" spans="2:17">
      <c r="E137" s="90" t="s">
        <v>409</v>
      </c>
      <c r="F137" s="203" t="s">
        <v>420</v>
      </c>
      <c r="G137" s="204"/>
      <c r="H137" s="204"/>
      <c r="I137" s="204"/>
      <c r="J137" s="204"/>
      <c r="K137" s="204"/>
      <c r="L137" s="204"/>
      <c r="M137" s="204"/>
      <c r="N137" s="204"/>
      <c r="O137" s="204"/>
      <c r="P137" s="204"/>
      <c r="Q137" s="205"/>
    </row>
    <row r="138" spans="2:17">
      <c r="E138" s="90" t="s">
        <v>386</v>
      </c>
      <c r="F138" s="212" t="s">
        <v>202</v>
      </c>
      <c r="G138" s="212"/>
      <c r="H138" s="212"/>
      <c r="I138" s="212"/>
      <c r="J138" s="212"/>
      <c r="K138" s="212"/>
      <c r="L138" s="212"/>
      <c r="M138" s="212"/>
      <c r="N138" s="212"/>
      <c r="O138" s="212"/>
      <c r="P138" s="212"/>
      <c r="Q138" s="212"/>
    </row>
    <row r="139" spans="2:17">
      <c r="E139" s="90" t="s">
        <v>389</v>
      </c>
      <c r="F139" s="212" t="s">
        <v>203</v>
      </c>
      <c r="G139" s="212"/>
      <c r="H139" s="212"/>
      <c r="I139" s="212"/>
      <c r="J139" s="212"/>
      <c r="K139" s="212"/>
      <c r="L139" s="212"/>
      <c r="M139" s="212"/>
      <c r="N139" s="212"/>
      <c r="O139" s="212"/>
      <c r="P139" s="212"/>
      <c r="Q139" s="212"/>
    </row>
    <row r="140" spans="2:17">
      <c r="E140" s="90" t="s">
        <v>413</v>
      </c>
      <c r="F140" s="227" t="s">
        <v>561</v>
      </c>
      <c r="G140" s="227"/>
      <c r="H140" s="227"/>
      <c r="I140" s="227"/>
      <c r="J140" s="227"/>
      <c r="K140" s="227"/>
      <c r="L140" s="227"/>
      <c r="M140" s="227"/>
      <c r="N140" s="227"/>
      <c r="O140" s="227"/>
      <c r="P140" s="227"/>
      <c r="Q140" s="227"/>
    </row>
    <row r="142" spans="2:17">
      <c r="B142" s="89" t="s">
        <v>393</v>
      </c>
      <c r="C142" s="89" t="s">
        <v>394</v>
      </c>
      <c r="E142" s="90"/>
      <c r="F142" s="90" t="s">
        <v>395</v>
      </c>
      <c r="G142" s="90" t="s">
        <v>396</v>
      </c>
      <c r="H142" s="90" t="s">
        <v>397</v>
      </c>
      <c r="I142" s="90" t="s">
        <v>398</v>
      </c>
      <c r="J142" s="90" t="s">
        <v>399</v>
      </c>
      <c r="K142" s="90" t="s">
        <v>400</v>
      </c>
      <c r="L142" s="90" t="s">
        <v>401</v>
      </c>
      <c r="M142" s="90" t="s">
        <v>402</v>
      </c>
      <c r="N142" s="90" t="s">
        <v>403</v>
      </c>
      <c r="O142" s="90" t="s">
        <v>404</v>
      </c>
      <c r="P142" s="90" t="s">
        <v>405</v>
      </c>
      <c r="Q142" s="90" t="s">
        <v>406</v>
      </c>
    </row>
    <row r="143" spans="2:17">
      <c r="B143" s="82" t="s">
        <v>568</v>
      </c>
      <c r="C143" s="82" t="s">
        <v>569</v>
      </c>
      <c r="E143" s="90" t="s">
        <v>408</v>
      </c>
      <c r="F143" s="218" t="s">
        <v>289</v>
      </c>
      <c r="G143" s="218"/>
      <c r="H143" s="218"/>
      <c r="I143" s="218"/>
      <c r="J143" s="218"/>
      <c r="K143" s="218"/>
      <c r="L143" s="218"/>
      <c r="M143" s="218"/>
      <c r="N143" s="218"/>
      <c r="O143" s="218"/>
      <c r="P143" s="218"/>
      <c r="Q143" s="218"/>
    </row>
    <row r="144" spans="2:17">
      <c r="E144" s="90" t="s">
        <v>409</v>
      </c>
      <c r="F144" s="203" t="s">
        <v>420</v>
      </c>
      <c r="G144" s="204"/>
      <c r="H144" s="204"/>
      <c r="I144" s="204"/>
      <c r="J144" s="204"/>
      <c r="K144" s="204"/>
      <c r="L144" s="204"/>
      <c r="M144" s="204"/>
      <c r="N144" s="204"/>
      <c r="O144" s="204"/>
      <c r="P144" s="204"/>
      <c r="Q144" s="205"/>
    </row>
    <row r="145" spans="2:17">
      <c r="E145" s="90" t="s">
        <v>386</v>
      </c>
      <c r="F145" s="212" t="s">
        <v>202</v>
      </c>
      <c r="G145" s="212"/>
      <c r="H145" s="212"/>
      <c r="I145" s="212"/>
      <c r="J145" s="212"/>
      <c r="K145" s="212"/>
      <c r="L145" s="212"/>
      <c r="M145" s="212"/>
      <c r="N145" s="212"/>
      <c r="O145" s="212"/>
      <c r="P145" s="212"/>
      <c r="Q145" s="212"/>
    </row>
    <row r="146" spans="2:17">
      <c r="E146" s="90" t="s">
        <v>389</v>
      </c>
      <c r="F146" s="212" t="s">
        <v>203</v>
      </c>
      <c r="G146" s="212"/>
      <c r="H146" s="212"/>
      <c r="I146" s="212"/>
      <c r="J146" s="212"/>
      <c r="K146" s="212"/>
      <c r="L146" s="212"/>
      <c r="M146" s="212"/>
      <c r="N146" s="212"/>
      <c r="O146" s="212"/>
      <c r="P146" s="212"/>
      <c r="Q146" s="212"/>
    </row>
    <row r="147" spans="2:17" ht="17.25" customHeight="1">
      <c r="E147" s="90" t="s">
        <v>413</v>
      </c>
      <c r="F147" s="227" t="s">
        <v>561</v>
      </c>
      <c r="G147" s="227"/>
      <c r="H147" s="227"/>
      <c r="I147" s="227"/>
      <c r="J147" s="227"/>
      <c r="K147" s="227"/>
      <c r="L147" s="227"/>
      <c r="M147" s="227"/>
      <c r="N147" s="227"/>
      <c r="O147" s="227"/>
      <c r="P147" s="227"/>
      <c r="Q147" s="227"/>
    </row>
    <row r="149" spans="2:17">
      <c r="B149" s="89" t="s">
        <v>393</v>
      </c>
      <c r="C149" s="89" t="s">
        <v>394</v>
      </c>
      <c r="E149" s="90"/>
      <c r="F149" s="90" t="s">
        <v>395</v>
      </c>
      <c r="G149" s="90" t="s">
        <v>396</v>
      </c>
      <c r="H149" s="90" t="s">
        <v>397</v>
      </c>
      <c r="I149" s="90" t="s">
        <v>398</v>
      </c>
      <c r="J149" s="90" t="s">
        <v>399</v>
      </c>
      <c r="K149" s="90" t="s">
        <v>400</v>
      </c>
      <c r="L149" s="90" t="s">
        <v>401</v>
      </c>
      <c r="M149" s="90" t="s">
        <v>402</v>
      </c>
      <c r="N149" s="90" t="s">
        <v>403</v>
      </c>
      <c r="O149" s="90" t="s">
        <v>404</v>
      </c>
      <c r="P149" s="90" t="s">
        <v>405</v>
      </c>
      <c r="Q149" s="90" t="s">
        <v>406</v>
      </c>
    </row>
    <row r="150" spans="2:17" ht="16.5" customHeight="1">
      <c r="B150" s="82" t="s">
        <v>570</v>
      </c>
      <c r="C150" s="82" t="s">
        <v>571</v>
      </c>
      <c r="E150" s="90" t="s">
        <v>408</v>
      </c>
      <c r="F150" s="218" t="s">
        <v>292</v>
      </c>
      <c r="G150" s="218"/>
      <c r="H150" s="218"/>
      <c r="I150" s="218"/>
      <c r="J150" s="218"/>
      <c r="K150" s="218"/>
      <c r="L150" s="218"/>
      <c r="M150" s="218"/>
      <c r="N150" s="218"/>
      <c r="O150" s="218"/>
      <c r="P150" s="218"/>
      <c r="Q150" s="218"/>
    </row>
    <row r="151" spans="2:17">
      <c r="B151" s="86"/>
      <c r="E151" s="90" t="s">
        <v>409</v>
      </c>
      <c r="F151" s="203" t="s">
        <v>420</v>
      </c>
      <c r="G151" s="204"/>
      <c r="H151" s="204"/>
      <c r="I151" s="204"/>
      <c r="J151" s="204"/>
      <c r="K151" s="204"/>
      <c r="L151" s="204"/>
      <c r="M151" s="204"/>
      <c r="N151" s="204"/>
      <c r="O151" s="204"/>
      <c r="P151" s="204"/>
      <c r="Q151" s="205"/>
    </row>
    <row r="152" spans="2:17">
      <c r="B152" s="86"/>
      <c r="E152" s="90" t="s">
        <v>386</v>
      </c>
      <c r="F152" s="212" t="s">
        <v>202</v>
      </c>
      <c r="G152" s="212"/>
      <c r="H152" s="212"/>
      <c r="I152" s="212"/>
      <c r="J152" s="212"/>
      <c r="K152" s="212"/>
      <c r="L152" s="212"/>
      <c r="M152" s="212"/>
      <c r="N152" s="212"/>
      <c r="O152" s="212"/>
      <c r="P152" s="212"/>
      <c r="Q152" s="212"/>
    </row>
    <row r="153" spans="2:17">
      <c r="B153" s="86"/>
      <c r="E153" s="90" t="s">
        <v>389</v>
      </c>
      <c r="F153" s="212" t="s">
        <v>203</v>
      </c>
      <c r="G153" s="212"/>
      <c r="H153" s="212"/>
      <c r="I153" s="212"/>
      <c r="J153" s="212"/>
      <c r="K153" s="212"/>
      <c r="L153" s="212"/>
      <c r="M153" s="212"/>
      <c r="N153" s="212"/>
      <c r="O153" s="212"/>
      <c r="P153" s="212"/>
      <c r="Q153" s="212"/>
    </row>
    <row r="154" spans="2:17">
      <c r="B154" s="86"/>
      <c r="E154" s="90" t="s">
        <v>413</v>
      </c>
      <c r="F154" s="227" t="s">
        <v>561</v>
      </c>
      <c r="G154" s="227"/>
      <c r="H154" s="227"/>
      <c r="I154" s="227"/>
      <c r="J154" s="227"/>
      <c r="K154" s="227"/>
      <c r="L154" s="227"/>
      <c r="M154" s="227"/>
      <c r="N154" s="227"/>
      <c r="O154" s="227"/>
      <c r="P154" s="227"/>
      <c r="Q154" s="227"/>
    </row>
    <row r="156" spans="2:17">
      <c r="B156" s="89" t="s">
        <v>393</v>
      </c>
      <c r="C156" s="89" t="s">
        <v>394</v>
      </c>
      <c r="E156" s="90"/>
      <c r="F156" s="90" t="s">
        <v>395</v>
      </c>
      <c r="G156" s="90" t="s">
        <v>396</v>
      </c>
      <c r="H156" s="90" t="s">
        <v>397</v>
      </c>
      <c r="I156" s="90" t="s">
        <v>398</v>
      </c>
      <c r="J156" s="90" t="s">
        <v>399</v>
      </c>
      <c r="K156" s="90" t="s">
        <v>400</v>
      </c>
      <c r="L156" s="90" t="s">
        <v>401</v>
      </c>
      <c r="M156" s="90" t="s">
        <v>402</v>
      </c>
      <c r="N156" s="90" t="s">
        <v>403</v>
      </c>
      <c r="O156" s="90" t="s">
        <v>404</v>
      </c>
      <c r="P156" s="90" t="s">
        <v>405</v>
      </c>
      <c r="Q156" s="90" t="s">
        <v>406</v>
      </c>
    </row>
    <row r="157" spans="2:17">
      <c r="B157" s="82" t="s">
        <v>572</v>
      </c>
      <c r="C157" s="82" t="s">
        <v>573</v>
      </c>
      <c r="E157" s="90" t="s">
        <v>408</v>
      </c>
      <c r="F157" s="101" t="s">
        <v>66</v>
      </c>
      <c r="G157" s="101" t="s">
        <v>66</v>
      </c>
      <c r="H157" s="101" t="s">
        <v>66</v>
      </c>
      <c r="I157" s="101" t="s">
        <v>66</v>
      </c>
      <c r="J157" s="218" t="s">
        <v>295</v>
      </c>
      <c r="K157" s="218"/>
      <c r="L157" s="218"/>
      <c r="M157" s="218"/>
      <c r="N157" s="218"/>
      <c r="O157" s="218"/>
      <c r="P157" s="218"/>
      <c r="Q157" s="218"/>
    </row>
    <row r="158" spans="2:17">
      <c r="E158" s="90" t="s">
        <v>409</v>
      </c>
      <c r="F158" s="102" t="s">
        <v>410</v>
      </c>
      <c r="G158" s="102" t="s">
        <v>410</v>
      </c>
      <c r="H158" s="102" t="s">
        <v>410</v>
      </c>
      <c r="I158" s="102" t="s">
        <v>410</v>
      </c>
      <c r="J158" s="203" t="s">
        <v>420</v>
      </c>
      <c r="K158" s="204"/>
      <c r="L158" s="204"/>
      <c r="M158" s="204"/>
      <c r="N158" s="204"/>
      <c r="O158" s="204"/>
      <c r="P158" s="204"/>
      <c r="Q158" s="205"/>
    </row>
    <row r="159" spans="2:17">
      <c r="E159" s="90" t="s">
        <v>386</v>
      </c>
      <c r="F159" s="212" t="s">
        <v>202</v>
      </c>
      <c r="G159" s="212"/>
      <c r="H159" s="212"/>
      <c r="I159" s="212"/>
      <c r="J159" s="212"/>
      <c r="K159" s="212"/>
      <c r="L159" s="212"/>
      <c r="M159" s="212"/>
      <c r="N159" s="212"/>
      <c r="O159" s="212"/>
      <c r="P159" s="212"/>
      <c r="Q159" s="212"/>
    </row>
    <row r="160" spans="2:17">
      <c r="E160" s="90" t="s">
        <v>389</v>
      </c>
      <c r="F160" s="212" t="s">
        <v>203</v>
      </c>
      <c r="G160" s="212"/>
      <c r="H160" s="212"/>
      <c r="I160" s="212"/>
      <c r="J160" s="212"/>
      <c r="K160" s="212"/>
      <c r="L160" s="212"/>
      <c r="M160" s="212"/>
      <c r="N160" s="212"/>
      <c r="O160" s="212"/>
      <c r="P160" s="212"/>
      <c r="Q160" s="212"/>
    </row>
    <row r="161" spans="2:17" ht="17.25" customHeight="1">
      <c r="E161" s="90" t="s">
        <v>413</v>
      </c>
      <c r="F161" s="227" t="s">
        <v>561</v>
      </c>
      <c r="G161" s="227"/>
      <c r="H161" s="227"/>
      <c r="I161" s="227"/>
      <c r="J161" s="227"/>
      <c r="K161" s="227"/>
      <c r="L161" s="227"/>
      <c r="M161" s="227"/>
      <c r="N161" s="227"/>
      <c r="O161" s="227"/>
      <c r="P161" s="227"/>
      <c r="Q161" s="227"/>
    </row>
    <row r="163" spans="2:17">
      <c r="B163" s="89" t="s">
        <v>393</v>
      </c>
      <c r="C163" s="89" t="s">
        <v>394</v>
      </c>
      <c r="E163" s="90"/>
      <c r="F163" s="90" t="s">
        <v>395</v>
      </c>
      <c r="G163" s="90" t="s">
        <v>396</v>
      </c>
      <c r="H163" s="90" t="s">
        <v>397</v>
      </c>
      <c r="I163" s="90" t="s">
        <v>398</v>
      </c>
      <c r="J163" s="90" t="s">
        <v>399</v>
      </c>
      <c r="K163" s="90" t="s">
        <v>400</v>
      </c>
      <c r="L163" s="90" t="s">
        <v>401</v>
      </c>
      <c r="M163" s="90" t="s">
        <v>402</v>
      </c>
      <c r="N163" s="90" t="s">
        <v>403</v>
      </c>
      <c r="O163" s="90" t="s">
        <v>404</v>
      </c>
      <c r="P163" s="90" t="s">
        <v>405</v>
      </c>
      <c r="Q163" s="90" t="s">
        <v>406</v>
      </c>
    </row>
    <row r="164" spans="2:17">
      <c r="B164" s="82" t="s">
        <v>574</v>
      </c>
      <c r="C164" s="82" t="s">
        <v>296</v>
      </c>
      <c r="E164" s="90" t="s">
        <v>408</v>
      </c>
      <c r="F164" s="101" t="s">
        <v>66</v>
      </c>
      <c r="G164" s="101" t="s">
        <v>66</v>
      </c>
      <c r="H164" s="101" t="s">
        <v>66</v>
      </c>
      <c r="I164" s="101" t="s">
        <v>66</v>
      </c>
      <c r="J164" s="101" t="s">
        <v>66</v>
      </c>
      <c r="K164" s="101" t="s">
        <v>66</v>
      </c>
      <c r="L164" s="101" t="s">
        <v>66</v>
      </c>
      <c r="M164" s="101" t="s">
        <v>66</v>
      </c>
      <c r="N164" s="101" t="s">
        <v>66</v>
      </c>
      <c r="O164" s="101" t="s">
        <v>66</v>
      </c>
      <c r="P164" s="101" t="s">
        <v>66</v>
      </c>
      <c r="Q164" s="101" t="s">
        <v>66</v>
      </c>
    </row>
    <row r="165" spans="2:17">
      <c r="C165" s="86"/>
      <c r="E165" s="90" t="s">
        <v>409</v>
      </c>
      <c r="F165" s="93" t="s">
        <v>410</v>
      </c>
      <c r="G165" s="94" t="s">
        <v>410</v>
      </c>
      <c r="H165" s="94" t="s">
        <v>410</v>
      </c>
      <c r="I165" s="94" t="s">
        <v>410</v>
      </c>
      <c r="J165" s="94" t="s">
        <v>410</v>
      </c>
      <c r="K165" s="94" t="s">
        <v>410</v>
      </c>
      <c r="L165" s="94" t="s">
        <v>410</v>
      </c>
      <c r="M165" s="94" t="s">
        <v>410</v>
      </c>
      <c r="N165" s="94" t="s">
        <v>410</v>
      </c>
      <c r="O165" s="94" t="s">
        <v>410</v>
      </c>
      <c r="P165" s="94" t="s">
        <v>410</v>
      </c>
      <c r="Q165" s="95" t="s">
        <v>410</v>
      </c>
    </row>
    <row r="166" spans="2:17">
      <c r="C166" s="86"/>
      <c r="E166" s="90" t="s">
        <v>386</v>
      </c>
      <c r="F166" s="212" t="s">
        <v>202</v>
      </c>
      <c r="G166" s="212"/>
      <c r="H166" s="212"/>
      <c r="I166" s="212"/>
      <c r="J166" s="212"/>
      <c r="K166" s="212"/>
      <c r="L166" s="212"/>
      <c r="M166" s="212"/>
      <c r="N166" s="212"/>
      <c r="O166" s="212"/>
      <c r="P166" s="212"/>
      <c r="Q166" s="212"/>
    </row>
    <row r="167" spans="2:17">
      <c r="C167" s="86"/>
      <c r="E167" s="90" t="s">
        <v>389</v>
      </c>
      <c r="F167" s="212" t="s">
        <v>203</v>
      </c>
      <c r="G167" s="212"/>
      <c r="H167" s="212"/>
      <c r="I167" s="212"/>
      <c r="J167" s="212"/>
      <c r="K167" s="212"/>
      <c r="L167" s="212"/>
      <c r="M167" s="212"/>
      <c r="N167" s="212"/>
      <c r="O167" s="212"/>
      <c r="P167" s="212"/>
      <c r="Q167" s="212"/>
    </row>
    <row r="168" spans="2:17">
      <c r="C168" s="86"/>
      <c r="E168" s="90" t="s">
        <v>413</v>
      </c>
      <c r="F168" s="227" t="s">
        <v>561</v>
      </c>
      <c r="G168" s="227"/>
      <c r="H168" s="227"/>
      <c r="I168" s="227"/>
      <c r="J168" s="227"/>
      <c r="K168" s="227"/>
      <c r="L168" s="227"/>
      <c r="M168" s="227"/>
      <c r="N168" s="227"/>
      <c r="O168" s="227"/>
      <c r="P168" s="227"/>
      <c r="Q168" s="227"/>
    </row>
    <row r="170" spans="2:17">
      <c r="B170" s="89" t="s">
        <v>393</v>
      </c>
      <c r="C170" s="89" t="s">
        <v>394</v>
      </c>
      <c r="E170" s="90"/>
      <c r="F170" s="90" t="s">
        <v>395</v>
      </c>
      <c r="G170" s="90" t="s">
        <v>396</v>
      </c>
      <c r="H170" s="90" t="s">
        <v>397</v>
      </c>
      <c r="I170" s="90" t="s">
        <v>398</v>
      </c>
      <c r="J170" s="90" t="s">
        <v>399</v>
      </c>
      <c r="K170" s="90" t="s">
        <v>400</v>
      </c>
      <c r="L170" s="90" t="s">
        <v>401</v>
      </c>
      <c r="M170" s="90" t="s">
        <v>402</v>
      </c>
      <c r="N170" s="90" t="s">
        <v>403</v>
      </c>
      <c r="O170" s="90" t="s">
        <v>404</v>
      </c>
      <c r="P170" s="90" t="s">
        <v>405</v>
      </c>
      <c r="Q170" s="90" t="s">
        <v>406</v>
      </c>
    </row>
    <row r="171" spans="2:17" ht="17" customHeight="1">
      <c r="B171" s="82" t="s">
        <v>575</v>
      </c>
      <c r="C171" s="82" t="s">
        <v>298</v>
      </c>
      <c r="E171" s="90" t="s">
        <v>408</v>
      </c>
      <c r="F171" s="66" t="s">
        <v>244</v>
      </c>
      <c r="G171" s="66" t="s">
        <v>244</v>
      </c>
      <c r="H171" s="66" t="s">
        <v>244</v>
      </c>
      <c r="I171" s="66" t="s">
        <v>244</v>
      </c>
      <c r="J171" s="66" t="s">
        <v>244</v>
      </c>
      <c r="K171" s="66" t="s">
        <v>244</v>
      </c>
      <c r="L171" s="66" t="s">
        <v>244</v>
      </c>
      <c r="M171" s="66" t="s">
        <v>244</v>
      </c>
      <c r="N171" s="101" t="s">
        <v>66</v>
      </c>
      <c r="O171" s="101" t="s">
        <v>66</v>
      </c>
      <c r="P171" s="101" t="s">
        <v>66</v>
      </c>
      <c r="Q171" s="101" t="s">
        <v>66</v>
      </c>
    </row>
    <row r="172" spans="2:17">
      <c r="E172" s="90" t="s">
        <v>409</v>
      </c>
      <c r="F172" s="103"/>
      <c r="G172" s="104"/>
      <c r="H172" s="104"/>
      <c r="I172" s="104"/>
      <c r="J172" s="104"/>
      <c r="K172" s="104"/>
      <c r="L172" s="104"/>
      <c r="M172" s="104"/>
      <c r="N172" s="94" t="s">
        <v>410</v>
      </c>
      <c r="O172" s="94" t="s">
        <v>410</v>
      </c>
      <c r="P172" s="94" t="s">
        <v>410</v>
      </c>
      <c r="Q172" s="95" t="s">
        <v>410</v>
      </c>
    </row>
    <row r="173" spans="2:17">
      <c r="E173" s="90" t="s">
        <v>386</v>
      </c>
      <c r="F173" s="212" t="s">
        <v>202</v>
      </c>
      <c r="G173" s="212"/>
      <c r="H173" s="212"/>
      <c r="I173" s="212"/>
      <c r="J173" s="212"/>
      <c r="K173" s="212"/>
      <c r="L173" s="212"/>
      <c r="M173" s="212"/>
      <c r="N173" s="212"/>
      <c r="O173" s="212"/>
      <c r="P173" s="212"/>
      <c r="Q173" s="212"/>
    </row>
    <row r="174" spans="2:17">
      <c r="E174" s="90" t="s">
        <v>389</v>
      </c>
      <c r="F174" s="212" t="s">
        <v>203</v>
      </c>
      <c r="G174" s="212"/>
      <c r="H174" s="212"/>
      <c r="I174" s="212"/>
      <c r="J174" s="212"/>
      <c r="K174" s="212"/>
      <c r="L174" s="212"/>
      <c r="M174" s="212"/>
      <c r="N174" s="212"/>
      <c r="O174" s="212"/>
      <c r="P174" s="212"/>
      <c r="Q174" s="212"/>
    </row>
    <row r="175" spans="2:17" ht="17.25" customHeight="1">
      <c r="E175" s="90" t="s">
        <v>413</v>
      </c>
      <c r="F175" s="227" t="s">
        <v>561</v>
      </c>
      <c r="G175" s="227"/>
      <c r="H175" s="227"/>
      <c r="I175" s="227"/>
      <c r="J175" s="227"/>
      <c r="K175" s="227"/>
      <c r="L175" s="227"/>
      <c r="M175" s="227"/>
      <c r="N175" s="227"/>
      <c r="O175" s="227"/>
      <c r="P175" s="227"/>
      <c r="Q175" s="227"/>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R46"/>
  <sheetViews>
    <sheetView topLeftCell="A9" zoomScale="70" zoomScaleNormal="70" workbookViewId="0"/>
  </sheetViews>
  <sheetFormatPr defaultColWidth="8.6875" defaultRowHeight="16.899999999999999"/>
  <cols>
    <col min="1" max="1" width="2.5625" style="1" customWidth="1"/>
    <col min="2" max="2" width="4.5625" style="1" bestFit="1" customWidth="1"/>
    <col min="3" max="3" width="18.6875" style="1" bestFit="1" customWidth="1"/>
    <col min="4" max="4" width="14.1875" style="1" bestFit="1" customWidth="1"/>
    <col min="5" max="5" width="8.8125" style="1" bestFit="1" customWidth="1"/>
    <col min="6" max="6" width="33.5625" style="1" bestFit="1" customWidth="1"/>
    <col min="7" max="7" width="7.6875" style="1" bestFit="1" customWidth="1"/>
    <col min="8" max="8" width="5.8125" style="1" bestFit="1" customWidth="1"/>
    <col min="9" max="9" width="8.0625" style="1" bestFit="1" customWidth="1"/>
    <col min="10" max="10" width="10.5625" style="1" bestFit="1" customWidth="1"/>
    <col min="11" max="11" width="10.4375" style="1" hidden="1" customWidth="1"/>
    <col min="12" max="12" width="12.9375" style="1" hidden="1" customWidth="1"/>
    <col min="13" max="13" width="5.0625" style="1" hidden="1" customWidth="1"/>
    <col min="14" max="14" width="8.9375" style="1" hidden="1" customWidth="1"/>
    <col min="15" max="15" width="47.1875" style="1" bestFit="1" customWidth="1"/>
    <col min="16" max="16" width="8.6875" style="1"/>
    <col min="17" max="17" width="11.25" style="1" bestFit="1" customWidth="1"/>
    <col min="18" max="18" width="12.5" style="1" bestFit="1" customWidth="1"/>
    <col min="19" max="16384" width="8.6875" style="1"/>
  </cols>
  <sheetData>
    <row r="1" spans="2:15" ht="17.25" thickBot="1"/>
    <row r="2" spans="2:15" ht="17.25" thickBot="1">
      <c r="B2" s="109" t="s">
        <v>0</v>
      </c>
      <c r="C2" s="110" t="s">
        <v>11</v>
      </c>
      <c r="D2" s="111" t="s">
        <v>24</v>
      </c>
      <c r="E2" s="111" t="s">
        <v>301</v>
      </c>
      <c r="F2" s="111" t="s">
        <v>624</v>
      </c>
      <c r="G2" s="111" t="s">
        <v>12</v>
      </c>
      <c r="H2" s="111" t="s">
        <v>14</v>
      </c>
      <c r="I2" s="111" t="s">
        <v>15</v>
      </c>
      <c r="J2" s="111" t="s">
        <v>16</v>
      </c>
      <c r="K2" s="111" t="s">
        <v>20</v>
      </c>
      <c r="L2" s="111" t="s">
        <v>19</v>
      </c>
      <c r="M2" s="111" t="s">
        <v>14</v>
      </c>
      <c r="N2" s="111" t="s">
        <v>17</v>
      </c>
      <c r="O2" s="112" t="s">
        <v>302</v>
      </c>
    </row>
    <row r="3" spans="2:15">
      <c r="B3" s="114" t="s">
        <v>303</v>
      </c>
      <c r="C3" s="113"/>
      <c r="D3" s="28"/>
      <c r="E3" s="28"/>
      <c r="F3" s="28" t="s">
        <v>634</v>
      </c>
      <c r="G3" s="28"/>
      <c r="H3" s="28"/>
      <c r="I3" s="28"/>
      <c r="J3" s="28"/>
      <c r="K3" s="28"/>
      <c r="L3" s="28"/>
      <c r="M3" s="28"/>
      <c r="N3" s="28"/>
      <c r="O3" s="30"/>
    </row>
    <row r="4" spans="2:15" ht="17.25" thickBot="1">
      <c r="B4" s="115"/>
      <c r="C4" s="49"/>
      <c r="D4" s="32"/>
      <c r="E4" s="32"/>
      <c r="F4" s="32" t="s">
        <v>635</v>
      </c>
      <c r="G4" s="32"/>
      <c r="H4" s="32"/>
      <c r="I4" s="32"/>
      <c r="J4" s="32"/>
      <c r="K4" s="32"/>
      <c r="L4" s="32"/>
      <c r="M4" s="32"/>
      <c r="N4" s="32"/>
      <c r="O4" s="33"/>
    </row>
    <row r="5" spans="2:15">
      <c r="B5" s="24">
        <v>0</v>
      </c>
      <c r="C5" s="153" t="s">
        <v>1</v>
      </c>
      <c r="D5" s="42" t="s">
        <v>25</v>
      </c>
      <c r="E5" s="42">
        <v>3</v>
      </c>
      <c r="F5" s="42"/>
      <c r="G5" s="60">
        <v>1.1000000000000001</v>
      </c>
      <c r="H5" s="42" t="s">
        <v>13</v>
      </c>
      <c r="I5" s="64">
        <v>0.05</v>
      </c>
      <c r="J5" s="60">
        <f>G5*(1-I5)</f>
        <v>1.0449999999999999</v>
      </c>
      <c r="K5" s="42">
        <v>1</v>
      </c>
      <c r="L5" s="42">
        <f>J5*K5</f>
        <v>1.0449999999999999</v>
      </c>
      <c r="M5" s="42" t="s">
        <v>13</v>
      </c>
      <c r="N5" s="42">
        <f t="shared" ref="N5:N10" si="0">ROUND(L5/5*(2^15-1), 0)</f>
        <v>6848</v>
      </c>
      <c r="O5" s="147" t="s">
        <v>690</v>
      </c>
    </row>
    <row r="6" spans="2:15" ht="17.25" thickBot="1">
      <c r="B6" s="25"/>
      <c r="C6" s="154"/>
      <c r="D6" s="45"/>
      <c r="E6" s="45"/>
      <c r="F6" s="45"/>
      <c r="G6" s="61"/>
      <c r="H6" s="45"/>
      <c r="I6" s="45"/>
      <c r="J6" s="61">
        <f>G5*(1+I5)</f>
        <v>1.1550000000000002</v>
      </c>
      <c r="K6" s="45"/>
      <c r="L6" s="45">
        <f>J6*K5</f>
        <v>1.1550000000000002</v>
      </c>
      <c r="M6" s="45" t="s">
        <v>13</v>
      </c>
      <c r="N6" s="45">
        <f t="shared" si="0"/>
        <v>7569</v>
      </c>
      <c r="O6" s="33" t="s">
        <v>693</v>
      </c>
    </row>
    <row r="7" spans="2:15">
      <c r="B7" s="142">
        <v>1</v>
      </c>
      <c r="C7" s="143" t="s">
        <v>309</v>
      </c>
      <c r="D7" s="144" t="s">
        <v>25</v>
      </c>
      <c r="E7" s="144">
        <v>3</v>
      </c>
      <c r="F7" s="144"/>
      <c r="G7" s="145">
        <v>1.2</v>
      </c>
      <c r="H7" s="144" t="s">
        <v>13</v>
      </c>
      <c r="I7" s="146">
        <v>0.05</v>
      </c>
      <c r="J7" s="145">
        <f>G7*(1-I7)</f>
        <v>1.1399999999999999</v>
      </c>
      <c r="K7" s="144">
        <v>1</v>
      </c>
      <c r="L7" s="144">
        <f>J7*K7</f>
        <v>1.1399999999999999</v>
      </c>
      <c r="M7" s="144" t="s">
        <v>13</v>
      </c>
      <c r="N7" s="144">
        <f t="shared" ref="N7:N8" si="1">ROUND(L7/5*(2^15-1), 0)</f>
        <v>7471</v>
      </c>
      <c r="O7" s="147" t="s">
        <v>691</v>
      </c>
    </row>
    <row r="8" spans="2:15" ht="17.25" thickBot="1">
      <c r="B8" s="148"/>
      <c r="C8" s="149"/>
      <c r="D8" s="150"/>
      <c r="E8" s="150"/>
      <c r="F8" s="150"/>
      <c r="G8" s="151"/>
      <c r="H8" s="150"/>
      <c r="I8" s="150"/>
      <c r="J8" s="151">
        <f>G7*(1+I7)</f>
        <v>1.26</v>
      </c>
      <c r="K8" s="150"/>
      <c r="L8" s="150">
        <f>J8*K7</f>
        <v>1.26</v>
      </c>
      <c r="M8" s="150" t="s">
        <v>13</v>
      </c>
      <c r="N8" s="150">
        <f t="shared" si="1"/>
        <v>8257</v>
      </c>
      <c r="O8" s="152" t="s">
        <v>692</v>
      </c>
    </row>
    <row r="9" spans="2:15">
      <c r="B9" s="107">
        <v>2</v>
      </c>
      <c r="C9" s="41" t="s">
        <v>2</v>
      </c>
      <c r="D9" s="42" t="s">
        <v>25</v>
      </c>
      <c r="E9" s="42">
        <v>5</v>
      </c>
      <c r="F9" s="42"/>
      <c r="G9" s="60">
        <v>1</v>
      </c>
      <c r="H9" s="42" t="s">
        <v>18</v>
      </c>
      <c r="I9" s="64">
        <v>0.05</v>
      </c>
      <c r="J9" s="60">
        <f>G9*(1-I9)</f>
        <v>0.95</v>
      </c>
      <c r="K9" s="42">
        <f>510*1/1000</f>
        <v>0.51</v>
      </c>
      <c r="L9" s="42">
        <f>J9*K9</f>
        <v>0.48449999999999999</v>
      </c>
      <c r="M9" s="42" t="s">
        <v>13</v>
      </c>
      <c r="N9" s="42">
        <f t="shared" si="0"/>
        <v>3175</v>
      </c>
      <c r="O9" s="43" t="s">
        <v>7</v>
      </c>
    </row>
    <row r="10" spans="2:15" ht="17.25" thickBot="1">
      <c r="B10" s="108"/>
      <c r="C10" s="65"/>
      <c r="D10" s="45"/>
      <c r="E10" s="45"/>
      <c r="F10" s="45"/>
      <c r="G10" s="61"/>
      <c r="H10" s="45"/>
      <c r="I10" s="45"/>
      <c r="J10" s="61">
        <f>G9*(1+I9)</f>
        <v>1.05</v>
      </c>
      <c r="K10" s="45"/>
      <c r="L10" s="45">
        <f>J10*K9</f>
        <v>0.53550000000000009</v>
      </c>
      <c r="M10" s="45" t="s">
        <v>13</v>
      </c>
      <c r="N10" s="45">
        <f t="shared" si="0"/>
        <v>3509</v>
      </c>
      <c r="O10" s="46"/>
    </row>
    <row r="11" spans="2:15">
      <c r="B11" s="24">
        <v>3</v>
      </c>
      <c r="C11" s="21" t="s">
        <v>4</v>
      </c>
      <c r="D11" s="19" t="s">
        <v>25</v>
      </c>
      <c r="E11" s="19">
        <v>4</v>
      </c>
      <c r="F11" s="19"/>
      <c r="G11" s="56">
        <v>1.5</v>
      </c>
      <c r="H11" s="19" t="s">
        <v>13</v>
      </c>
      <c r="I11" s="20">
        <v>0.05</v>
      </c>
      <c r="J11" s="56">
        <f>G11*(1-I11)</f>
        <v>1.4249999999999998</v>
      </c>
      <c r="K11" s="19">
        <v>1</v>
      </c>
      <c r="L11" s="19">
        <f>J11*K11</f>
        <v>1.4249999999999998</v>
      </c>
      <c r="M11" s="19" t="s">
        <v>13</v>
      </c>
      <c r="N11" s="19">
        <f>ROUND(L11/5*(2^15-1), 0)</f>
        <v>9339</v>
      </c>
      <c r="O11" s="147" t="s">
        <v>694</v>
      </c>
    </row>
    <row r="12" spans="2:15" ht="17.25" thickBot="1">
      <c r="B12" s="34"/>
      <c r="C12" s="35"/>
      <c r="D12" s="36"/>
      <c r="E12" s="36"/>
      <c r="F12" s="36"/>
      <c r="G12" s="57"/>
      <c r="H12" s="36"/>
      <c r="I12" s="36"/>
      <c r="J12" s="57">
        <f>G11*(1+I11)</f>
        <v>1.5750000000000002</v>
      </c>
      <c r="K12" s="36"/>
      <c r="L12" s="36">
        <f>J12*K11</f>
        <v>1.5750000000000002</v>
      </c>
      <c r="M12" s="36" t="s">
        <v>13</v>
      </c>
      <c r="N12" s="36">
        <f>ROUND(L12/5*(2^15-1), 0)</f>
        <v>10322</v>
      </c>
      <c r="O12" s="152" t="s">
        <v>695</v>
      </c>
    </row>
    <row r="13" spans="2:15">
      <c r="B13" s="26">
        <v>4</v>
      </c>
      <c r="C13" s="27" t="s">
        <v>5</v>
      </c>
      <c r="D13" s="28" t="s">
        <v>26</v>
      </c>
      <c r="E13" s="28">
        <v>6</v>
      </c>
      <c r="F13" s="28" t="s">
        <v>625</v>
      </c>
      <c r="G13" s="54">
        <v>16</v>
      </c>
      <c r="H13" s="28" t="s">
        <v>21</v>
      </c>
      <c r="I13" s="29">
        <v>0.01</v>
      </c>
      <c r="J13" s="54">
        <f>G13</f>
        <v>16</v>
      </c>
      <c r="K13" s="28">
        <f>16*64</f>
        <v>1024</v>
      </c>
      <c r="L13" s="28">
        <f>J13*1000/K13</f>
        <v>15.625</v>
      </c>
      <c r="M13" s="28" t="s">
        <v>22</v>
      </c>
      <c r="N13" s="28">
        <f>ROUND(64000/L13, 0)</f>
        <v>4096</v>
      </c>
      <c r="O13" s="30" t="s">
        <v>627</v>
      </c>
    </row>
    <row r="14" spans="2:15" ht="17.25" thickBot="1">
      <c r="B14" s="25"/>
      <c r="C14" s="31"/>
      <c r="D14" s="32"/>
      <c r="E14" s="32"/>
      <c r="F14" s="32"/>
      <c r="G14" s="55"/>
      <c r="H14" s="32"/>
      <c r="I14" s="32"/>
      <c r="J14" s="55">
        <f>G13*(1+I13)</f>
        <v>16.16</v>
      </c>
      <c r="K14" s="32"/>
      <c r="L14" s="32">
        <f>J14*1000/K13</f>
        <v>15.78125</v>
      </c>
      <c r="M14" s="32" t="s">
        <v>22</v>
      </c>
      <c r="N14" s="32">
        <f>ROUND(64000/L14, 0)</f>
        <v>4055</v>
      </c>
      <c r="O14" s="33"/>
    </row>
    <row r="15" spans="2:15">
      <c r="B15" s="24">
        <v>5</v>
      </c>
      <c r="C15" s="37" t="s">
        <v>6</v>
      </c>
      <c r="D15" s="38" t="s">
        <v>27</v>
      </c>
      <c r="E15" s="38">
        <v>6</v>
      </c>
      <c r="F15" s="38"/>
      <c r="G15" s="58" t="s">
        <v>303</v>
      </c>
      <c r="H15" s="38"/>
      <c r="I15" s="38"/>
      <c r="J15" s="58"/>
      <c r="K15" s="38"/>
      <c r="L15" s="38"/>
      <c r="M15" s="38"/>
      <c r="N15" s="38"/>
      <c r="O15" s="52" t="s">
        <v>307</v>
      </c>
    </row>
    <row r="16" spans="2:15" ht="17.25" thickBot="1">
      <c r="B16" s="34"/>
      <c r="C16" s="39"/>
      <c r="D16" s="40" t="s">
        <v>28</v>
      </c>
      <c r="E16" s="40"/>
      <c r="F16" s="40"/>
      <c r="G16" s="59"/>
      <c r="H16" s="40"/>
      <c r="I16" s="40"/>
      <c r="J16" s="59"/>
      <c r="K16" s="40"/>
      <c r="L16" s="40"/>
      <c r="M16" s="40"/>
      <c r="N16" s="40"/>
      <c r="O16" s="53"/>
    </row>
    <row r="17" spans="2:18">
      <c r="B17" s="26">
        <v>6</v>
      </c>
      <c r="C17" s="41" t="s">
        <v>8</v>
      </c>
      <c r="D17" s="42" t="s">
        <v>27</v>
      </c>
      <c r="E17" s="42">
        <v>6</v>
      </c>
      <c r="F17" s="42"/>
      <c r="G17" s="60" t="s">
        <v>303</v>
      </c>
      <c r="H17" s="42"/>
      <c r="I17" s="42"/>
      <c r="J17" s="60"/>
      <c r="K17" s="42"/>
      <c r="L17" s="42"/>
      <c r="M17" s="42"/>
      <c r="N17" s="42"/>
      <c r="O17" s="43" t="s">
        <v>308</v>
      </c>
    </row>
    <row r="18" spans="2:18" ht="17.25" thickBot="1">
      <c r="B18" s="25"/>
      <c r="C18" s="44"/>
      <c r="D18" s="45" t="s">
        <v>28</v>
      </c>
      <c r="E18" s="45"/>
      <c r="F18" s="45"/>
      <c r="G18" s="61"/>
      <c r="H18" s="45"/>
      <c r="I18" s="45"/>
      <c r="J18" s="61"/>
      <c r="K18" s="45"/>
      <c r="L18" s="45"/>
      <c r="M18" s="45"/>
      <c r="N18" s="45"/>
      <c r="O18" s="46"/>
    </row>
    <row r="19" spans="2:18">
      <c r="B19" s="24">
        <v>7</v>
      </c>
      <c r="C19" s="21" t="s">
        <v>9</v>
      </c>
      <c r="D19" s="19" t="s">
        <v>622</v>
      </c>
      <c r="E19" s="19">
        <v>1</v>
      </c>
      <c r="F19" s="19" t="s">
        <v>626</v>
      </c>
      <c r="G19" s="56">
        <v>277</v>
      </c>
      <c r="H19" s="19"/>
      <c r="I19" s="20">
        <v>0.05</v>
      </c>
      <c r="J19" s="56">
        <f>G19*(1-I19)</f>
        <v>263.14999999999998</v>
      </c>
      <c r="K19" s="19"/>
      <c r="L19" s="19"/>
      <c r="M19" s="19"/>
      <c r="N19" s="19">
        <f t="shared" ref="N19:N24" si="2">ROUND(J19, 0)</f>
        <v>263</v>
      </c>
      <c r="O19" s="50" t="s">
        <v>629</v>
      </c>
    </row>
    <row r="20" spans="2:18" ht="17.25" thickBot="1">
      <c r="B20" s="34"/>
      <c r="C20" s="35"/>
      <c r="D20" s="36"/>
      <c r="E20" s="36"/>
      <c r="F20" s="36"/>
      <c r="G20" s="57"/>
      <c r="H20" s="36"/>
      <c r="I20" s="36"/>
      <c r="J20" s="57">
        <f>G19*(1+I19)</f>
        <v>290.85000000000002</v>
      </c>
      <c r="K20" s="36"/>
      <c r="L20" s="36"/>
      <c r="M20" s="36"/>
      <c r="N20" s="36">
        <f t="shared" si="2"/>
        <v>291</v>
      </c>
      <c r="O20" s="51"/>
    </row>
    <row r="21" spans="2:18">
      <c r="B21" s="26">
        <v>8</v>
      </c>
      <c r="C21" s="27" t="s">
        <v>10</v>
      </c>
      <c r="D21" s="28" t="s">
        <v>622</v>
      </c>
      <c r="E21" s="28">
        <v>1</v>
      </c>
      <c r="F21" s="28" t="s">
        <v>626</v>
      </c>
      <c r="G21" s="54">
        <v>505</v>
      </c>
      <c r="H21" s="28"/>
      <c r="I21" s="29">
        <v>0.05</v>
      </c>
      <c r="J21" s="54">
        <f>G21*(1-I21)</f>
        <v>479.75</v>
      </c>
      <c r="K21" s="28"/>
      <c r="L21" s="28"/>
      <c r="M21" s="28"/>
      <c r="N21" s="28">
        <f t="shared" si="2"/>
        <v>480</v>
      </c>
      <c r="O21" s="30" t="s">
        <v>630</v>
      </c>
    </row>
    <row r="22" spans="2:18" ht="17.25" thickBot="1">
      <c r="B22" s="25"/>
      <c r="C22" s="31"/>
      <c r="D22" s="32"/>
      <c r="E22" s="32"/>
      <c r="F22" s="32"/>
      <c r="G22" s="55"/>
      <c r="H22" s="32"/>
      <c r="I22" s="32"/>
      <c r="J22" s="55">
        <f>G21*(1+I21)</f>
        <v>530.25</v>
      </c>
      <c r="K22" s="32"/>
      <c r="L22" s="32"/>
      <c r="M22" s="32"/>
      <c r="N22" s="32">
        <f t="shared" si="2"/>
        <v>530</v>
      </c>
      <c r="O22" s="33"/>
    </row>
    <row r="23" spans="2:18">
      <c r="B23" s="26">
        <v>9</v>
      </c>
      <c r="C23" s="27" t="s">
        <v>3</v>
      </c>
      <c r="D23" s="28" t="s">
        <v>623</v>
      </c>
      <c r="E23" s="28">
        <v>0</v>
      </c>
      <c r="F23" s="28" t="s">
        <v>628</v>
      </c>
      <c r="G23" s="54">
        <v>521</v>
      </c>
      <c r="H23" s="28"/>
      <c r="I23" s="29">
        <v>0.05</v>
      </c>
      <c r="J23" s="54">
        <f>G23*(1-I23)</f>
        <v>494.95</v>
      </c>
      <c r="K23" s="28"/>
      <c r="L23" s="28"/>
      <c r="M23" s="28"/>
      <c r="N23" s="28">
        <f t="shared" si="2"/>
        <v>495</v>
      </c>
      <c r="O23" s="30" t="s">
        <v>696</v>
      </c>
    </row>
    <row r="24" spans="2:18" ht="17.25" thickBot="1">
      <c r="B24" s="34"/>
      <c r="C24" s="35"/>
      <c r="D24" s="36"/>
      <c r="E24" s="36"/>
      <c r="F24" s="36"/>
      <c r="G24" s="57"/>
      <c r="H24" s="36"/>
      <c r="I24" s="36"/>
      <c r="J24" s="57">
        <f>G23*(1+I23)</f>
        <v>547.05000000000007</v>
      </c>
      <c r="K24" s="36"/>
      <c r="L24" s="36"/>
      <c r="M24" s="36"/>
      <c r="N24" s="36">
        <f t="shared" si="2"/>
        <v>547</v>
      </c>
      <c r="O24" s="51"/>
    </row>
    <row r="25" spans="2:18">
      <c r="B25" s="114">
        <v>10</v>
      </c>
      <c r="C25" s="27" t="s">
        <v>300</v>
      </c>
      <c r="D25" s="28" t="s">
        <v>304</v>
      </c>
      <c r="E25" s="47" t="s">
        <v>702</v>
      </c>
      <c r="F25" s="28" t="s">
        <v>703</v>
      </c>
      <c r="G25" s="54">
        <v>22.3</v>
      </c>
      <c r="H25" s="28" t="s">
        <v>23</v>
      </c>
      <c r="I25" s="29">
        <v>0.01</v>
      </c>
      <c r="J25" s="54">
        <f>G25*(1-I25)</f>
        <v>22.077000000000002</v>
      </c>
      <c r="K25" s="28">
        <f>$R$25/$R$26*$R$27/$R$28</f>
        <v>9.7500000000000003E-2</v>
      </c>
      <c r="L25" s="28">
        <f>J25*K25</f>
        <v>2.1525075000000005</v>
      </c>
      <c r="M25" s="28" t="s">
        <v>13</v>
      </c>
      <c r="N25" s="28">
        <f>ROUND(L25/5*(2^15-1), 0)</f>
        <v>14106</v>
      </c>
      <c r="O25" s="30"/>
      <c r="Q25" s="1" t="s">
        <v>310</v>
      </c>
      <c r="R25" s="1">
        <v>65</v>
      </c>
    </row>
    <row r="26" spans="2:18">
      <c r="B26" s="116"/>
      <c r="C26" s="23"/>
      <c r="D26" s="17"/>
      <c r="E26" s="17"/>
      <c r="F26" s="17" t="s">
        <v>631</v>
      </c>
      <c r="G26" s="62"/>
      <c r="H26" s="17"/>
      <c r="I26" s="17"/>
      <c r="J26" s="62">
        <f>G25*(1+I25)</f>
        <v>22.523</v>
      </c>
      <c r="K26" s="17"/>
      <c r="L26" s="17">
        <f>J26*K25</f>
        <v>2.1959925</v>
      </c>
      <c r="M26" s="17" t="s">
        <v>13</v>
      </c>
      <c r="N26" s="17">
        <f t="shared" ref="N26" si="3">ROUND(L26/5*(2^15-1), 0)</f>
        <v>14391</v>
      </c>
      <c r="O26" s="48"/>
      <c r="Q26" s="1" t="s">
        <v>311</v>
      </c>
      <c r="R26" s="1">
        <v>2200</v>
      </c>
    </row>
    <row r="27" spans="2:18" ht="17.25" thickBot="1">
      <c r="B27" s="116"/>
      <c r="C27" s="23"/>
      <c r="D27" s="17"/>
      <c r="E27" s="17"/>
      <c r="F27" s="17" t="s">
        <v>636</v>
      </c>
      <c r="G27" s="62"/>
      <c r="H27" s="17"/>
      <c r="I27" s="17"/>
      <c r="J27" s="62"/>
      <c r="K27" s="17"/>
      <c r="L27" s="17"/>
      <c r="M27" s="17"/>
      <c r="N27" s="17"/>
      <c r="O27" s="48"/>
      <c r="Q27" s="1" t="s">
        <v>312</v>
      </c>
      <c r="R27" s="1">
        <v>3300</v>
      </c>
    </row>
    <row r="28" spans="2:18">
      <c r="B28" s="116"/>
      <c r="C28" s="22"/>
      <c r="D28" s="17" t="s">
        <v>305</v>
      </c>
      <c r="E28" s="228">
        <v>9</v>
      </c>
      <c r="F28" s="17" t="s">
        <v>704</v>
      </c>
      <c r="G28" s="63">
        <v>13.8</v>
      </c>
      <c r="H28" s="17" t="s">
        <v>23</v>
      </c>
      <c r="I28" s="18">
        <v>0.01</v>
      </c>
      <c r="J28" s="62">
        <f>G28*(1-I28)</f>
        <v>13.662000000000001</v>
      </c>
      <c r="K28" s="17">
        <f>$R$25/$R$26*$R$27/$R$28</f>
        <v>9.7500000000000003E-2</v>
      </c>
      <c r="L28" s="17">
        <f>J28*K28</f>
        <v>1.3320450000000001</v>
      </c>
      <c r="M28" s="17" t="s">
        <v>13</v>
      </c>
      <c r="N28" s="17">
        <f t="shared" ref="N28:N29" si="4">ROUND(L28/5*(2^15-1), 0)</f>
        <v>8729</v>
      </c>
      <c r="O28" s="30"/>
      <c r="Q28" s="1" t="s">
        <v>313</v>
      </c>
      <c r="R28" s="1">
        <v>1000</v>
      </c>
    </row>
    <row r="29" spans="2:18">
      <c r="B29" s="116"/>
      <c r="C29" s="23"/>
      <c r="D29" s="17"/>
      <c r="E29" s="228"/>
      <c r="F29" s="17" t="s">
        <v>632</v>
      </c>
      <c r="G29" s="62"/>
      <c r="H29" s="17"/>
      <c r="I29" s="17"/>
      <c r="J29" s="62">
        <f>G28*(1+I28)</f>
        <v>13.938000000000001</v>
      </c>
      <c r="K29" s="17"/>
      <c r="L29" s="17">
        <f>J29*K28</f>
        <v>1.3589550000000001</v>
      </c>
      <c r="M29" s="17" t="s">
        <v>13</v>
      </c>
      <c r="N29" s="17">
        <f t="shared" si="4"/>
        <v>8906</v>
      </c>
      <c r="O29" s="48"/>
    </row>
    <row r="30" spans="2:18" ht="17.25" thickBot="1">
      <c r="B30" s="116"/>
      <c r="C30" s="23"/>
      <c r="D30" s="17"/>
      <c r="E30" s="228"/>
      <c r="F30" s="17" t="s">
        <v>637</v>
      </c>
      <c r="G30" s="62"/>
      <c r="H30" s="17"/>
      <c r="I30" s="17"/>
      <c r="J30" s="62"/>
      <c r="K30" s="17"/>
      <c r="L30" s="17"/>
      <c r="M30" s="17"/>
      <c r="N30" s="17"/>
      <c r="O30" s="48"/>
    </row>
    <row r="31" spans="2:18">
      <c r="B31" s="116"/>
      <c r="C31" s="22"/>
      <c r="D31" s="17" t="s">
        <v>306</v>
      </c>
      <c r="E31" s="228">
        <v>3</v>
      </c>
      <c r="F31" s="17" t="s">
        <v>697</v>
      </c>
      <c r="G31" s="62">
        <v>6.24</v>
      </c>
      <c r="H31" s="17" t="s">
        <v>23</v>
      </c>
      <c r="I31" s="18">
        <v>0.01</v>
      </c>
      <c r="J31" s="62">
        <f>G31*(1-I31)</f>
        <v>6.1776</v>
      </c>
      <c r="K31" s="17">
        <f>$R$25/$R$26*$R$27/$R$28</f>
        <v>9.7500000000000003E-2</v>
      </c>
      <c r="L31" s="17">
        <f>J31*K31</f>
        <v>0.60231600000000007</v>
      </c>
      <c r="M31" s="17" t="s">
        <v>13</v>
      </c>
      <c r="N31" s="17">
        <f>ROUND(L31/5*(2^15-1), 0)</f>
        <v>3947</v>
      </c>
      <c r="O31" s="30"/>
    </row>
    <row r="32" spans="2:18">
      <c r="B32" s="116"/>
      <c r="C32" s="23"/>
      <c r="D32" s="17"/>
      <c r="E32" s="17"/>
      <c r="F32" s="17" t="s">
        <v>633</v>
      </c>
      <c r="G32" s="62"/>
      <c r="H32" s="17"/>
      <c r="I32" s="17"/>
      <c r="J32" s="62">
        <f>G31*(1+I31)</f>
        <v>6.3024000000000004</v>
      </c>
      <c r="K32" s="17"/>
      <c r="L32" s="17">
        <f>J32*K31</f>
        <v>0.61448400000000003</v>
      </c>
      <c r="M32" s="17" t="s">
        <v>13</v>
      </c>
      <c r="N32" s="17">
        <f>ROUND(L32/5*(2^15-1), 0)</f>
        <v>4027</v>
      </c>
      <c r="O32" s="48"/>
    </row>
    <row r="33" spans="2:18" ht="17.25" thickBot="1">
      <c r="B33" s="115"/>
      <c r="C33" s="49"/>
      <c r="D33" s="32"/>
      <c r="E33" s="32"/>
      <c r="F33" s="32" t="s">
        <v>638</v>
      </c>
      <c r="G33" s="55"/>
      <c r="H33" s="32"/>
      <c r="I33" s="32"/>
      <c r="J33" s="55"/>
      <c r="K33" s="32"/>
      <c r="L33" s="32"/>
      <c r="M33" s="32"/>
      <c r="N33" s="32"/>
      <c r="O33" s="33"/>
    </row>
    <row r="34" spans="2:18">
      <c r="B34" s="114">
        <v>12</v>
      </c>
      <c r="C34" s="27" t="s">
        <v>639</v>
      </c>
      <c r="D34" s="28" t="s">
        <v>652</v>
      </c>
      <c r="E34" s="28"/>
      <c r="F34" s="28" t="s">
        <v>650</v>
      </c>
      <c r="G34" s="54"/>
      <c r="H34" s="28"/>
      <c r="I34" s="28"/>
      <c r="J34" s="54"/>
      <c r="K34" s="28"/>
      <c r="L34" s="28"/>
      <c r="M34" s="28"/>
      <c r="N34" s="28"/>
      <c r="O34" s="30"/>
      <c r="Q34" s="1" t="s">
        <v>310</v>
      </c>
      <c r="R34" s="1">
        <v>200</v>
      </c>
    </row>
    <row r="35" spans="2:18">
      <c r="B35" s="116"/>
      <c r="C35" s="23"/>
      <c r="D35" s="17" t="s">
        <v>641</v>
      </c>
      <c r="E35" s="17"/>
      <c r="F35" s="17" t="s">
        <v>644</v>
      </c>
      <c r="G35" s="62"/>
      <c r="H35" s="17"/>
      <c r="I35" s="17"/>
      <c r="J35" s="62"/>
      <c r="K35" s="17"/>
      <c r="L35" s="17"/>
      <c r="M35" s="17"/>
      <c r="N35" s="17"/>
      <c r="O35" s="48"/>
      <c r="Q35" s="1" t="s">
        <v>311</v>
      </c>
      <c r="R35" s="1">
        <v>2200</v>
      </c>
    </row>
    <row r="36" spans="2:18">
      <c r="B36" s="116"/>
      <c r="C36" s="23"/>
      <c r="D36" s="17"/>
      <c r="E36" s="17"/>
      <c r="F36" s="17" t="s">
        <v>645</v>
      </c>
      <c r="G36" s="62"/>
      <c r="H36" s="17"/>
      <c r="I36" s="17"/>
      <c r="J36" s="62"/>
      <c r="K36" s="17"/>
      <c r="L36" s="17"/>
      <c r="M36" s="17"/>
      <c r="N36" s="17"/>
      <c r="O36" s="48"/>
      <c r="Q36" s="1" t="s">
        <v>312</v>
      </c>
      <c r="R36" s="1">
        <v>3300</v>
      </c>
    </row>
    <row r="37" spans="2:18">
      <c r="B37" s="116"/>
      <c r="C37" s="23"/>
      <c r="D37" s="17"/>
      <c r="E37" s="17"/>
      <c r="F37" s="17" t="s">
        <v>646</v>
      </c>
      <c r="G37" s="62"/>
      <c r="H37" s="17"/>
      <c r="I37" s="17"/>
      <c r="J37" s="62"/>
      <c r="K37" s="17"/>
      <c r="L37" s="17"/>
      <c r="M37" s="17"/>
      <c r="N37" s="17"/>
      <c r="O37" s="48"/>
      <c r="Q37" s="1" t="s">
        <v>313</v>
      </c>
      <c r="R37" s="1">
        <v>1000</v>
      </c>
    </row>
    <row r="38" spans="2:18">
      <c r="B38" s="116"/>
      <c r="C38" s="23"/>
      <c r="D38" s="17"/>
      <c r="E38" s="17"/>
      <c r="F38" s="17" t="s">
        <v>640</v>
      </c>
      <c r="G38" s="62"/>
      <c r="H38" s="17"/>
      <c r="I38" s="17"/>
      <c r="J38" s="62"/>
      <c r="K38" s="17"/>
      <c r="L38" s="17"/>
      <c r="M38" s="17"/>
      <c r="N38" s="17"/>
      <c r="O38" s="48"/>
    </row>
    <row r="39" spans="2:18">
      <c r="B39" s="116"/>
      <c r="C39" s="23"/>
      <c r="D39" s="17" t="s">
        <v>642</v>
      </c>
      <c r="E39" s="17"/>
      <c r="F39" s="17" t="s">
        <v>647</v>
      </c>
      <c r="G39" s="62">
        <f>ROUND(13.17/G25*4095, )</f>
        <v>2418</v>
      </c>
      <c r="H39" s="17"/>
      <c r="I39" s="17"/>
      <c r="J39" s="156">
        <f>G39/4095</f>
        <v>0.59047619047619049</v>
      </c>
      <c r="K39" s="17"/>
      <c r="L39" s="17"/>
      <c r="M39" s="17"/>
      <c r="N39" s="17"/>
      <c r="O39" s="48"/>
    </row>
    <row r="40" spans="2:18">
      <c r="B40" s="116"/>
      <c r="C40" s="23"/>
      <c r="D40" s="17"/>
      <c r="E40" s="17"/>
      <c r="F40" s="17" t="s">
        <v>649</v>
      </c>
      <c r="G40" s="62">
        <f>ROUND(11.5/G28*4095, )</f>
        <v>3413</v>
      </c>
      <c r="H40" s="17"/>
      <c r="I40" s="17"/>
      <c r="J40" s="156">
        <f>G40/4095</f>
        <v>0.83345543345543349</v>
      </c>
      <c r="K40" s="17"/>
      <c r="L40" s="17"/>
      <c r="M40" s="17"/>
      <c r="N40" s="17"/>
      <c r="O40" s="48"/>
    </row>
    <row r="41" spans="2:18">
      <c r="B41" s="116"/>
      <c r="C41" s="23"/>
      <c r="D41" s="17"/>
      <c r="E41" s="17"/>
      <c r="F41" s="17" t="s">
        <v>648</v>
      </c>
      <c r="G41" s="62">
        <f>ROUND(6.08/G31*4095, )</f>
        <v>3990</v>
      </c>
      <c r="H41" s="17"/>
      <c r="I41" s="17"/>
      <c r="J41" s="156">
        <f>G41/4095</f>
        <v>0.97435897435897434</v>
      </c>
      <c r="K41" s="17"/>
      <c r="L41" s="17"/>
      <c r="M41" s="17"/>
      <c r="N41" s="17"/>
      <c r="O41" s="48"/>
    </row>
    <row r="42" spans="2:18">
      <c r="B42" s="116"/>
      <c r="C42" s="23"/>
      <c r="D42" s="17"/>
      <c r="E42" s="17"/>
      <c r="F42" s="17" t="s">
        <v>643</v>
      </c>
      <c r="G42" s="62"/>
      <c r="H42" s="17"/>
      <c r="I42" s="17"/>
      <c r="J42" s="62"/>
      <c r="K42" s="17"/>
      <c r="L42" s="17"/>
      <c r="M42" s="17"/>
      <c r="N42" s="17"/>
      <c r="O42" s="48"/>
    </row>
    <row r="43" spans="2:18" ht="17.25" thickBot="1">
      <c r="B43" s="115"/>
      <c r="C43" s="49"/>
      <c r="D43" s="32" t="s">
        <v>652</v>
      </c>
      <c r="E43" s="32"/>
      <c r="F43" s="32" t="s">
        <v>651</v>
      </c>
      <c r="G43" s="55"/>
      <c r="H43" s="32"/>
      <c r="I43" s="32"/>
      <c r="J43" s="55"/>
      <c r="K43" s="32"/>
      <c r="L43" s="32"/>
      <c r="M43" s="32"/>
      <c r="N43" s="32"/>
      <c r="O43" s="33"/>
      <c r="Q43" s="1" t="s">
        <v>310</v>
      </c>
      <c r="R43" s="1">
        <v>200</v>
      </c>
    </row>
    <row r="44" spans="2:18">
      <c r="Q44" s="1" t="s">
        <v>311</v>
      </c>
      <c r="R44" s="1">
        <v>2200</v>
      </c>
    </row>
    <row r="45" spans="2:18">
      <c r="Q45" s="1" t="s">
        <v>312</v>
      </c>
      <c r="R45" s="1">
        <v>3300</v>
      </c>
    </row>
    <row r="46" spans="2:18">
      <c r="Q46" s="1" t="s">
        <v>313</v>
      </c>
      <c r="R46" s="1">
        <v>1000</v>
      </c>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election activeCell="H14" sqref="H14"/>
    </sheetView>
  </sheetViews>
  <sheetFormatPr defaultColWidth="9" defaultRowHeight="16.899999999999999"/>
  <cols>
    <col min="1" max="1" width="2.5625" style="118" customWidth="1"/>
    <col min="2" max="2" width="9.5625" style="118" bestFit="1" customWidth="1"/>
    <col min="3" max="3" width="11.9375" style="118" bestFit="1" customWidth="1"/>
    <col min="4" max="4" width="11.6875" style="118" bestFit="1" customWidth="1"/>
    <col min="5" max="5" width="11.1875" style="118" bestFit="1" customWidth="1"/>
    <col min="6" max="6" width="15.0625" style="118" bestFit="1" customWidth="1"/>
    <col min="7" max="7" width="14.0625" style="118" bestFit="1" customWidth="1"/>
    <col min="8" max="9" width="14.0625" style="118" customWidth="1"/>
    <col min="10" max="10" width="2.5625" style="118" customWidth="1"/>
    <col min="11" max="11" width="6.9375" style="118" bestFit="1" customWidth="1"/>
    <col min="12" max="12" width="11.6875" style="118" bestFit="1" customWidth="1"/>
    <col min="13" max="13" width="14.0625" style="118" bestFit="1" customWidth="1"/>
    <col min="14" max="14" width="10.0625" style="118" bestFit="1" customWidth="1"/>
    <col min="15" max="15" width="6.9375" style="118" customWidth="1"/>
    <col min="16" max="16" width="2.5625" style="118" customWidth="1"/>
    <col min="17" max="17" width="6.9375" style="118" bestFit="1" customWidth="1"/>
    <col min="18" max="18" width="11.6875" style="118" bestFit="1" customWidth="1"/>
    <col min="19" max="19" width="14.0625" style="118" bestFit="1" customWidth="1"/>
    <col min="20" max="20" width="11.1875" style="118" bestFit="1" customWidth="1"/>
    <col min="21" max="21" width="6.9375" style="118" customWidth="1"/>
    <col min="22" max="22" width="2.5625" style="118" customWidth="1"/>
    <col min="23" max="23" width="6.0625" style="118" bestFit="1" customWidth="1"/>
    <col min="24" max="24" width="10.5625" style="118" bestFit="1" customWidth="1"/>
    <col min="25" max="25" width="12.9375" style="118" bestFit="1" customWidth="1"/>
    <col min="26" max="26" width="11.1875" style="118" bestFit="1" customWidth="1"/>
    <col min="27" max="27" width="6.9375" style="118" bestFit="1" customWidth="1"/>
    <col min="28" max="16384" width="9" style="118"/>
  </cols>
  <sheetData>
    <row r="1" spans="1:27">
      <c r="A1" s="117"/>
    </row>
    <row r="2" spans="1:27">
      <c r="B2" s="119" t="s">
        <v>654</v>
      </c>
      <c r="C2" s="119" t="s">
        <v>655</v>
      </c>
      <c r="D2" s="119" t="s">
        <v>656</v>
      </c>
      <c r="E2" s="119" t="s">
        <v>657</v>
      </c>
      <c r="F2" s="119" t="s">
        <v>658</v>
      </c>
      <c r="G2" s="119" t="s">
        <v>659</v>
      </c>
      <c r="K2" s="120">
        <v>8</v>
      </c>
      <c r="L2" s="121" t="s">
        <v>660</v>
      </c>
      <c r="M2" s="121"/>
      <c r="N2" s="121"/>
      <c r="O2" s="121"/>
      <c r="Q2" s="120">
        <v>8</v>
      </c>
      <c r="R2" s="121" t="s">
        <v>661</v>
      </c>
      <c r="S2" s="121"/>
      <c r="T2" s="121"/>
      <c r="U2" s="121"/>
      <c r="W2" s="120">
        <v>8</v>
      </c>
      <c r="X2" s="121" t="s">
        <v>662</v>
      </c>
      <c r="Y2" s="121"/>
      <c r="Z2" s="121"/>
      <c r="AA2" s="121"/>
    </row>
    <row r="3" spans="1:27">
      <c r="B3" s="118">
        <v>65535</v>
      </c>
      <c r="C3" s="122">
        <v>8000</v>
      </c>
      <c r="D3" s="118">
        <f>2^15-1</f>
        <v>32767</v>
      </c>
      <c r="E3" s="123">
        <v>5</v>
      </c>
      <c r="F3" s="124">
        <f>E3/D3*1000</f>
        <v>0.15259254737998595</v>
      </c>
      <c r="G3" s="125">
        <v>5</v>
      </c>
      <c r="K3" s="119" t="s">
        <v>663</v>
      </c>
      <c r="L3" s="119" t="s">
        <v>664</v>
      </c>
      <c r="M3" s="119" t="s">
        <v>665</v>
      </c>
      <c r="N3" s="119" t="s">
        <v>666</v>
      </c>
      <c r="O3" s="119" t="s">
        <v>656</v>
      </c>
      <c r="Q3" s="119" t="s">
        <v>663</v>
      </c>
      <c r="R3" s="119" t="s">
        <v>664</v>
      </c>
      <c r="S3" s="119" t="s">
        <v>665</v>
      </c>
      <c r="T3" s="119" t="s">
        <v>666</v>
      </c>
      <c r="U3" s="119" t="s">
        <v>656</v>
      </c>
      <c r="W3" s="119" t="s">
        <v>663</v>
      </c>
      <c r="X3" s="119" t="s">
        <v>664</v>
      </c>
      <c r="Y3" s="119" t="s">
        <v>665</v>
      </c>
      <c r="Z3" s="119" t="s">
        <v>666</v>
      </c>
      <c r="AA3" s="119" t="s">
        <v>656</v>
      </c>
    </row>
    <row r="4" spans="1:27">
      <c r="K4" s="119">
        <v>0</v>
      </c>
      <c r="L4" s="126">
        <f>$K$2*1000*K4/65535</f>
        <v>0</v>
      </c>
      <c r="M4" s="127">
        <f t="shared" ref="M4:M27" si="0">L4*$D$6/1000</f>
        <v>0</v>
      </c>
      <c r="N4" s="128">
        <f t="shared" ref="N4:N27" si="1">M4/$E$6*$F$6</f>
        <v>0</v>
      </c>
      <c r="O4" s="118">
        <f>ROUND((N4/1000)/$E$3*$D$3, 0)</f>
        <v>0</v>
      </c>
      <c r="Q4" s="119">
        <v>0</v>
      </c>
      <c r="R4" s="126">
        <f>$Q$2*1000*Q4/65535</f>
        <v>0</v>
      </c>
      <c r="S4" s="127">
        <f t="shared" ref="S4:S27" si="2">R4*$C$6/1000</f>
        <v>0</v>
      </c>
      <c r="T4" s="128">
        <f t="shared" ref="T4:T27" si="3">S4/$E$6*$F$6</f>
        <v>0</v>
      </c>
      <c r="U4" s="118">
        <f>ROUND((T4/1000)/$E$3*$D$3, 0)</f>
        <v>0</v>
      </c>
      <c r="W4" s="119">
        <v>0</v>
      </c>
      <c r="X4" s="126">
        <f>$W$2*1000*W4/65535</f>
        <v>0</v>
      </c>
      <c r="Y4" s="127">
        <f t="shared" ref="Y4:Y27" si="4">X4*$B$6/1000</f>
        <v>0</v>
      </c>
      <c r="Z4" s="128">
        <f t="shared" ref="Z4:Z27" si="5">Y4/$E$6*$F$6</f>
        <v>0</v>
      </c>
      <c r="AA4" s="118">
        <f>ROUND((Z4/1000)/$E$3*$D$3, 0)</f>
        <v>0</v>
      </c>
    </row>
    <row r="5" spans="1:27">
      <c r="B5" s="119" t="s">
        <v>667</v>
      </c>
      <c r="C5" s="119" t="s">
        <v>668</v>
      </c>
      <c r="D5" s="119" t="s">
        <v>669</v>
      </c>
      <c r="E5" s="119" t="s">
        <v>670</v>
      </c>
      <c r="F5" s="119" t="s">
        <v>671</v>
      </c>
      <c r="K5" s="119">
        <v>1</v>
      </c>
      <c r="L5" s="126">
        <f t="shared" ref="L5:L27" si="6">$K$2*1000*K5/65535</f>
        <v>0.12207217517357137</v>
      </c>
      <c r="M5" s="127">
        <f t="shared" si="0"/>
        <v>7.9346913862821389E-3</v>
      </c>
      <c r="N5" s="128">
        <f t="shared" si="1"/>
        <v>1.1902037079423208E-2</v>
      </c>
      <c r="O5" s="118">
        <f t="shared" ref="O5:O27" si="7">ROUND((N5/1000)/$E$3*$D$3, 0)</f>
        <v>0</v>
      </c>
      <c r="Q5" s="119">
        <v>1</v>
      </c>
      <c r="R5" s="126">
        <f t="shared" ref="R5:R27" si="8">$Q$2*1000*Q5/65535</f>
        <v>0.12207217517357137</v>
      </c>
      <c r="S5" s="127">
        <f t="shared" si="2"/>
        <v>0</v>
      </c>
      <c r="T5" s="128">
        <f t="shared" si="3"/>
        <v>0</v>
      </c>
      <c r="U5" s="118">
        <f t="shared" ref="U5:U27" si="9">ROUND((T5/1000)/$E$3*$D$3, 0)</f>
        <v>0</v>
      </c>
      <c r="W5" s="119">
        <v>1</v>
      </c>
      <c r="X5" s="126">
        <f t="shared" ref="X5:X27" si="10">$W$2*1000*W5/65535</f>
        <v>0.12207217517357137</v>
      </c>
      <c r="Y5" s="127">
        <f t="shared" si="4"/>
        <v>2.4414435034714275E-2</v>
      </c>
      <c r="Z5" s="128">
        <f t="shared" si="5"/>
        <v>3.6621652552071414E-2</v>
      </c>
      <c r="AA5" s="118">
        <f t="shared" ref="AA5:AA27" si="11">ROUND((Z5/1000)/$E$3*$D$3, 0)</f>
        <v>0</v>
      </c>
    </row>
    <row r="6" spans="1:27">
      <c r="B6" s="129">
        <v>200</v>
      </c>
      <c r="C6" s="130"/>
      <c r="D6" s="129">
        <v>65</v>
      </c>
      <c r="E6" s="131">
        <v>2200</v>
      </c>
      <c r="F6" s="131">
        <v>3300</v>
      </c>
      <c r="K6" s="119">
        <v>2</v>
      </c>
      <c r="L6" s="126">
        <f t="shared" si="6"/>
        <v>0.24414435034714274</v>
      </c>
      <c r="M6" s="127">
        <f t="shared" si="0"/>
        <v>1.5869382772564278E-2</v>
      </c>
      <c r="N6" s="128">
        <f t="shared" si="1"/>
        <v>2.3804074158846417E-2</v>
      </c>
      <c r="O6" s="118">
        <f t="shared" si="7"/>
        <v>0</v>
      </c>
      <c r="Q6" s="119">
        <v>2</v>
      </c>
      <c r="R6" s="126">
        <f t="shared" si="8"/>
        <v>0.24414435034714274</v>
      </c>
      <c r="S6" s="127">
        <f t="shared" si="2"/>
        <v>0</v>
      </c>
      <c r="T6" s="128">
        <f t="shared" si="3"/>
        <v>0</v>
      </c>
      <c r="U6" s="118">
        <f t="shared" si="9"/>
        <v>0</v>
      </c>
      <c r="W6" s="119">
        <v>2</v>
      </c>
      <c r="X6" s="126">
        <f t="shared" si="10"/>
        <v>0.24414435034714274</v>
      </c>
      <c r="Y6" s="127">
        <f t="shared" si="4"/>
        <v>4.882887006942855E-2</v>
      </c>
      <c r="Z6" s="128">
        <f t="shared" si="5"/>
        <v>7.3243305104142828E-2</v>
      </c>
      <c r="AA6" s="118">
        <f t="shared" si="11"/>
        <v>0</v>
      </c>
    </row>
    <row r="7" spans="1:27">
      <c r="K7" s="119">
        <v>3</v>
      </c>
      <c r="L7" s="126">
        <f t="shared" si="6"/>
        <v>0.3662165255207141</v>
      </c>
      <c r="M7" s="127">
        <f t="shared" si="0"/>
        <v>2.3804074158846417E-2</v>
      </c>
      <c r="N7" s="128">
        <f t="shared" si="1"/>
        <v>3.5706111238269625E-2</v>
      </c>
      <c r="O7" s="118">
        <f t="shared" si="7"/>
        <v>0</v>
      </c>
      <c r="Q7" s="119">
        <v>3</v>
      </c>
      <c r="R7" s="126">
        <f t="shared" si="8"/>
        <v>0.3662165255207141</v>
      </c>
      <c r="S7" s="127">
        <f t="shared" si="2"/>
        <v>0</v>
      </c>
      <c r="T7" s="128">
        <f t="shared" si="3"/>
        <v>0</v>
      </c>
      <c r="U7" s="118">
        <f t="shared" si="9"/>
        <v>0</v>
      </c>
      <c r="W7" s="119">
        <v>3</v>
      </c>
      <c r="X7" s="126">
        <f t="shared" si="10"/>
        <v>0.3662165255207141</v>
      </c>
      <c r="Y7" s="127">
        <f t="shared" si="4"/>
        <v>7.3243305104142814E-2</v>
      </c>
      <c r="Z7" s="128">
        <f t="shared" si="5"/>
        <v>0.10986495765621422</v>
      </c>
      <c r="AA7" s="118">
        <f t="shared" si="11"/>
        <v>1</v>
      </c>
    </row>
    <row r="8" spans="1:27">
      <c r="B8" s="119" t="s">
        <v>672</v>
      </c>
      <c r="C8" s="119" t="s">
        <v>673</v>
      </c>
      <c r="D8" s="119" t="s">
        <v>665</v>
      </c>
      <c r="E8" s="119" t="s">
        <v>674</v>
      </c>
      <c r="F8" s="119" t="s">
        <v>666</v>
      </c>
      <c r="G8" s="119" t="s">
        <v>675</v>
      </c>
      <c r="H8" s="119" t="s">
        <v>676</v>
      </c>
      <c r="I8" s="119" t="s">
        <v>656</v>
      </c>
      <c r="K8" s="119">
        <v>4</v>
      </c>
      <c r="L8" s="126">
        <f t="shared" si="6"/>
        <v>0.48828870069428548</v>
      </c>
      <c r="M8" s="127">
        <f t="shared" si="0"/>
        <v>3.1738765545128556E-2</v>
      </c>
      <c r="N8" s="128">
        <f t="shared" si="1"/>
        <v>4.7608148317692833E-2</v>
      </c>
      <c r="O8" s="118">
        <f t="shared" si="7"/>
        <v>0</v>
      </c>
      <c r="Q8" s="119">
        <v>4</v>
      </c>
      <c r="R8" s="126">
        <f t="shared" si="8"/>
        <v>0.48828870069428548</v>
      </c>
      <c r="S8" s="127">
        <f t="shared" si="2"/>
        <v>0</v>
      </c>
      <c r="T8" s="128">
        <f t="shared" si="3"/>
        <v>0</v>
      </c>
      <c r="U8" s="118">
        <f t="shared" si="9"/>
        <v>0</v>
      </c>
      <c r="W8" s="119">
        <v>4</v>
      </c>
      <c r="X8" s="126">
        <f t="shared" si="10"/>
        <v>0.48828870069428548</v>
      </c>
      <c r="Y8" s="127">
        <f t="shared" si="4"/>
        <v>9.7657740138857099E-2</v>
      </c>
      <c r="Z8" s="128">
        <f t="shared" si="5"/>
        <v>0.14648661020828566</v>
      </c>
      <c r="AA8" s="118">
        <f t="shared" si="11"/>
        <v>1</v>
      </c>
    </row>
    <row r="9" spans="1:27">
      <c r="B9" s="119" t="s">
        <v>677</v>
      </c>
      <c r="C9" s="132">
        <v>30</v>
      </c>
      <c r="D9" s="133">
        <f>C9*$D$6/1000</f>
        <v>1.95</v>
      </c>
      <c r="E9" s="134">
        <f>C9*D6/$E$6</f>
        <v>0.88636363636363635</v>
      </c>
      <c r="F9" s="125">
        <f>D9/$E$6*$F$6</f>
        <v>2.9249999999999998</v>
      </c>
      <c r="G9" s="118">
        <f>$D9*$D9/D6</f>
        <v>5.8499999999999996E-2</v>
      </c>
      <c r="H9" s="135">
        <f>C9/(F9/$E$3*$D$3)*1000</f>
        <v>1.5650517679998561</v>
      </c>
      <c r="I9" s="136">
        <f>F9/$E$3*$D$3</f>
        <v>19168.695</v>
      </c>
      <c r="K9" s="119">
        <v>5</v>
      </c>
      <c r="L9" s="126">
        <f t="shared" si="6"/>
        <v>0.61036087586785692</v>
      </c>
      <c r="M9" s="127">
        <f t="shared" si="0"/>
        <v>3.9673456931410694E-2</v>
      </c>
      <c r="N9" s="128">
        <f t="shared" si="1"/>
        <v>5.9510185397116042E-2</v>
      </c>
      <c r="O9" s="118">
        <f t="shared" si="7"/>
        <v>0</v>
      </c>
      <c r="Q9" s="119">
        <v>5</v>
      </c>
      <c r="R9" s="126">
        <f t="shared" si="8"/>
        <v>0.61036087586785692</v>
      </c>
      <c r="S9" s="127">
        <f t="shared" si="2"/>
        <v>0</v>
      </c>
      <c r="T9" s="128">
        <f t="shared" si="3"/>
        <v>0</v>
      </c>
      <c r="U9" s="118">
        <f t="shared" si="9"/>
        <v>0</v>
      </c>
      <c r="W9" s="119">
        <v>5</v>
      </c>
      <c r="X9" s="126">
        <f t="shared" si="10"/>
        <v>0.61036087586785692</v>
      </c>
      <c r="Y9" s="127">
        <f t="shared" si="4"/>
        <v>0.12207217517357138</v>
      </c>
      <c r="Z9" s="128">
        <f t="shared" si="5"/>
        <v>0.18310826276035708</v>
      </c>
      <c r="AA9" s="118">
        <f t="shared" si="11"/>
        <v>1</v>
      </c>
    </row>
    <row r="10" spans="1:27">
      <c r="B10" s="119" t="s">
        <v>678</v>
      </c>
      <c r="C10" s="137">
        <v>10</v>
      </c>
      <c r="D10" s="133">
        <f>C10*$B$6/1000</f>
        <v>2</v>
      </c>
      <c r="E10" s="134">
        <f>C10*B6/$E$6</f>
        <v>0.90909090909090906</v>
      </c>
      <c r="F10" s="125">
        <f>D10/$E$6*$F$6</f>
        <v>3</v>
      </c>
      <c r="G10" s="118">
        <f>$D10*$D10/B6</f>
        <v>0.02</v>
      </c>
      <c r="H10" s="135">
        <f>C10/(F10/$E$3*$D$3)*1000</f>
        <v>0.50864182459995322</v>
      </c>
      <c r="I10" s="136">
        <f>F10/$E$3*$D$3</f>
        <v>19660.2</v>
      </c>
      <c r="K10" s="119">
        <v>6</v>
      </c>
      <c r="L10" s="126">
        <f t="shared" si="6"/>
        <v>0.7324330510414282</v>
      </c>
      <c r="M10" s="127">
        <f t="shared" si="0"/>
        <v>4.7608148317692833E-2</v>
      </c>
      <c r="N10" s="128">
        <f t="shared" si="1"/>
        <v>7.141222247653925E-2</v>
      </c>
      <c r="O10" s="118">
        <f t="shared" si="7"/>
        <v>0</v>
      </c>
      <c r="Q10" s="119">
        <v>6</v>
      </c>
      <c r="R10" s="126">
        <f t="shared" si="8"/>
        <v>0.7324330510414282</v>
      </c>
      <c r="S10" s="127">
        <f t="shared" si="2"/>
        <v>0</v>
      </c>
      <c r="T10" s="128">
        <f t="shared" si="3"/>
        <v>0</v>
      </c>
      <c r="U10" s="118">
        <f t="shared" si="9"/>
        <v>0</v>
      </c>
      <c r="W10" s="119">
        <v>6</v>
      </c>
      <c r="X10" s="126">
        <f t="shared" si="10"/>
        <v>0.7324330510414282</v>
      </c>
      <c r="Y10" s="127">
        <f t="shared" si="4"/>
        <v>0.14648661020828563</v>
      </c>
      <c r="Z10" s="128">
        <f t="shared" si="5"/>
        <v>0.21972991531242844</v>
      </c>
      <c r="AA10" s="118">
        <f t="shared" si="11"/>
        <v>1</v>
      </c>
    </row>
    <row r="11" spans="1:27">
      <c r="K11" s="119">
        <v>7</v>
      </c>
      <c r="L11" s="126">
        <f t="shared" si="6"/>
        <v>0.85450522621499958</v>
      </c>
      <c r="M11" s="127">
        <f t="shared" si="0"/>
        <v>5.5542839703974972E-2</v>
      </c>
      <c r="N11" s="128">
        <f t="shared" si="1"/>
        <v>8.3314259555962458E-2</v>
      </c>
      <c r="O11" s="118">
        <f t="shared" si="7"/>
        <v>1</v>
      </c>
      <c r="Q11" s="119">
        <v>7</v>
      </c>
      <c r="R11" s="126">
        <f t="shared" si="8"/>
        <v>0.85450522621499958</v>
      </c>
      <c r="S11" s="127">
        <f t="shared" si="2"/>
        <v>0</v>
      </c>
      <c r="T11" s="128">
        <f t="shared" si="3"/>
        <v>0</v>
      </c>
      <c r="U11" s="118">
        <f t="shared" si="9"/>
        <v>0</v>
      </c>
      <c r="W11" s="119">
        <v>7</v>
      </c>
      <c r="X11" s="126">
        <f t="shared" si="10"/>
        <v>0.85450522621499958</v>
      </c>
      <c r="Y11" s="127">
        <f t="shared" si="4"/>
        <v>0.17090104524299993</v>
      </c>
      <c r="Z11" s="128">
        <f t="shared" si="5"/>
        <v>0.25635156786449986</v>
      </c>
      <c r="AA11" s="118">
        <f t="shared" si="11"/>
        <v>2</v>
      </c>
    </row>
    <row r="12" spans="1:27">
      <c r="B12" s="119" t="s">
        <v>672</v>
      </c>
      <c r="C12" s="119" t="s">
        <v>679</v>
      </c>
      <c r="D12" s="119" t="s">
        <v>680</v>
      </c>
      <c r="E12" s="119" t="s">
        <v>664</v>
      </c>
      <c r="F12" s="119" t="s">
        <v>656</v>
      </c>
      <c r="K12" s="119">
        <v>8</v>
      </c>
      <c r="L12" s="126">
        <f t="shared" si="6"/>
        <v>0.97657740138857096</v>
      </c>
      <c r="M12" s="127">
        <f t="shared" si="0"/>
        <v>6.3477531090257111E-2</v>
      </c>
      <c r="N12" s="128">
        <f t="shared" si="1"/>
        <v>9.5216296635385667E-2</v>
      </c>
      <c r="O12" s="118">
        <f t="shared" si="7"/>
        <v>1</v>
      </c>
      <c r="Q12" s="119">
        <v>8</v>
      </c>
      <c r="R12" s="126">
        <f t="shared" si="8"/>
        <v>0.97657740138857096</v>
      </c>
      <c r="S12" s="127">
        <f t="shared" si="2"/>
        <v>0</v>
      </c>
      <c r="T12" s="128">
        <f t="shared" si="3"/>
        <v>0</v>
      </c>
      <c r="U12" s="118">
        <f t="shared" si="9"/>
        <v>0</v>
      </c>
      <c r="W12" s="119">
        <v>8</v>
      </c>
      <c r="X12" s="126">
        <f t="shared" si="10"/>
        <v>0.97657740138857096</v>
      </c>
      <c r="Y12" s="127">
        <f t="shared" si="4"/>
        <v>0.1953154802777142</v>
      </c>
      <c r="Z12" s="128">
        <f t="shared" si="5"/>
        <v>0.29297322041657131</v>
      </c>
      <c r="AA12" s="118">
        <f t="shared" si="11"/>
        <v>2</v>
      </c>
    </row>
    <row r="13" spans="1:27">
      <c r="B13" s="119" t="s">
        <v>677</v>
      </c>
      <c r="C13" s="138">
        <v>12</v>
      </c>
      <c r="D13" s="138">
        <f>C13/$E$6*$F$6</f>
        <v>18</v>
      </c>
      <c r="E13" s="126">
        <f>C13/$D$6</f>
        <v>0.18461538461538463</v>
      </c>
      <c r="F13" s="118">
        <f>ROUND(E13/$H$9, 0)</f>
        <v>0</v>
      </c>
      <c r="K13" s="119">
        <v>9</v>
      </c>
      <c r="L13" s="126">
        <f t="shared" si="6"/>
        <v>1.0986495765621425</v>
      </c>
      <c r="M13" s="127">
        <f t="shared" si="0"/>
        <v>7.141222247653925E-2</v>
      </c>
      <c r="N13" s="128">
        <f t="shared" si="1"/>
        <v>0.10711833371480886</v>
      </c>
      <c r="O13" s="118">
        <f t="shared" si="7"/>
        <v>1</v>
      </c>
      <c r="P13" s="125"/>
      <c r="Q13" s="119">
        <v>9</v>
      </c>
      <c r="R13" s="126">
        <f t="shared" si="8"/>
        <v>1.0986495765621425</v>
      </c>
      <c r="S13" s="127">
        <f t="shared" si="2"/>
        <v>0</v>
      </c>
      <c r="T13" s="128">
        <f t="shared" si="3"/>
        <v>0</v>
      </c>
      <c r="U13" s="118">
        <f t="shared" si="9"/>
        <v>0</v>
      </c>
      <c r="W13" s="119">
        <v>9</v>
      </c>
      <c r="X13" s="126">
        <f t="shared" si="10"/>
        <v>1.0986495765621425</v>
      </c>
      <c r="Y13" s="127">
        <f t="shared" si="4"/>
        <v>0.2197299153124285</v>
      </c>
      <c r="Z13" s="128">
        <f t="shared" si="5"/>
        <v>0.32959487296864276</v>
      </c>
      <c r="AA13" s="118">
        <f t="shared" si="11"/>
        <v>2</v>
      </c>
    </row>
    <row r="14" spans="1:27">
      <c r="B14" s="119" t="s">
        <v>678</v>
      </c>
      <c r="C14" s="138">
        <v>12</v>
      </c>
      <c r="D14" s="138">
        <f>C14/$E$6*$F$6</f>
        <v>18</v>
      </c>
      <c r="E14" s="126">
        <f>C14/$B$6</f>
        <v>0.06</v>
      </c>
      <c r="F14" s="118">
        <f>ROUND(E14/$H$10, 0)</f>
        <v>0</v>
      </c>
      <c r="K14" s="119">
        <v>10</v>
      </c>
      <c r="L14" s="126">
        <f t="shared" si="6"/>
        <v>1.2207217517357138</v>
      </c>
      <c r="M14" s="127">
        <f t="shared" si="0"/>
        <v>7.9346913862821389E-2</v>
      </c>
      <c r="N14" s="128">
        <f t="shared" si="1"/>
        <v>0.11902037079423208</v>
      </c>
      <c r="O14" s="118">
        <f t="shared" si="7"/>
        <v>1</v>
      </c>
      <c r="P14" s="125"/>
      <c r="Q14" s="119">
        <v>10</v>
      </c>
      <c r="R14" s="126">
        <f t="shared" si="8"/>
        <v>1.2207217517357138</v>
      </c>
      <c r="S14" s="127">
        <f t="shared" si="2"/>
        <v>0</v>
      </c>
      <c r="T14" s="128">
        <f t="shared" si="3"/>
        <v>0</v>
      </c>
      <c r="U14" s="118">
        <f t="shared" si="9"/>
        <v>0</v>
      </c>
      <c r="W14" s="119">
        <v>10</v>
      </c>
      <c r="X14" s="126">
        <f t="shared" si="10"/>
        <v>1.2207217517357138</v>
      </c>
      <c r="Y14" s="127">
        <f t="shared" si="4"/>
        <v>0.24414435034714277</v>
      </c>
      <c r="Z14" s="128">
        <f t="shared" si="5"/>
        <v>0.36621652552071415</v>
      </c>
      <c r="AA14" s="118">
        <f t="shared" si="11"/>
        <v>2</v>
      </c>
    </row>
    <row r="15" spans="1:27">
      <c r="K15" s="119">
        <v>20</v>
      </c>
      <c r="L15" s="126">
        <f t="shared" si="6"/>
        <v>2.4414435034714277</v>
      </c>
      <c r="M15" s="127">
        <f t="shared" si="0"/>
        <v>0.15869382772564278</v>
      </c>
      <c r="N15" s="128">
        <f t="shared" si="1"/>
        <v>0.23804074158846417</v>
      </c>
      <c r="O15" s="118">
        <f t="shared" si="7"/>
        <v>2</v>
      </c>
      <c r="P15" s="125"/>
      <c r="Q15" s="119">
        <v>20</v>
      </c>
      <c r="R15" s="126">
        <f t="shared" si="8"/>
        <v>2.4414435034714277</v>
      </c>
      <c r="S15" s="127">
        <f t="shared" si="2"/>
        <v>0</v>
      </c>
      <c r="T15" s="128">
        <f t="shared" si="3"/>
        <v>0</v>
      </c>
      <c r="U15" s="118">
        <f t="shared" si="9"/>
        <v>0</v>
      </c>
      <c r="W15" s="119">
        <v>20</v>
      </c>
      <c r="X15" s="126">
        <f t="shared" si="10"/>
        <v>2.4414435034714277</v>
      </c>
      <c r="Y15" s="127">
        <f t="shared" si="4"/>
        <v>0.48828870069428554</v>
      </c>
      <c r="Z15" s="128">
        <f t="shared" si="5"/>
        <v>0.73243305104142831</v>
      </c>
      <c r="AA15" s="118">
        <f t="shared" si="11"/>
        <v>5</v>
      </c>
    </row>
    <row r="16" spans="1:27">
      <c r="K16" s="119">
        <v>30</v>
      </c>
      <c r="L16" s="126">
        <f t="shared" si="6"/>
        <v>3.6621652552071411</v>
      </c>
      <c r="M16" s="127">
        <f t="shared" si="0"/>
        <v>0.23804074158846417</v>
      </c>
      <c r="N16" s="128">
        <f t="shared" si="1"/>
        <v>0.35706111238269628</v>
      </c>
      <c r="O16" s="118">
        <f t="shared" si="7"/>
        <v>2</v>
      </c>
      <c r="P16" s="125"/>
      <c r="Q16" s="119">
        <v>50</v>
      </c>
      <c r="R16" s="126">
        <f t="shared" si="8"/>
        <v>6.1036087586785683</v>
      </c>
      <c r="S16" s="127">
        <f t="shared" si="2"/>
        <v>0</v>
      </c>
      <c r="T16" s="128">
        <f t="shared" si="3"/>
        <v>0</v>
      </c>
      <c r="U16" s="118">
        <f t="shared" si="9"/>
        <v>0</v>
      </c>
      <c r="W16" s="119">
        <v>50</v>
      </c>
      <c r="X16" s="126">
        <f t="shared" si="10"/>
        <v>6.1036087586785683</v>
      </c>
      <c r="Y16" s="127">
        <f t="shared" si="4"/>
        <v>1.2207217517357136</v>
      </c>
      <c r="Z16" s="128">
        <f t="shared" si="5"/>
        <v>1.8310826276035705</v>
      </c>
      <c r="AA16" s="118">
        <f t="shared" si="11"/>
        <v>12</v>
      </c>
    </row>
    <row r="17" spans="2:27">
      <c r="K17" s="119">
        <v>50</v>
      </c>
      <c r="L17" s="126">
        <f t="shared" si="6"/>
        <v>6.1036087586785683</v>
      </c>
      <c r="M17" s="127">
        <f t="shared" si="0"/>
        <v>0.39673456931410694</v>
      </c>
      <c r="N17" s="128">
        <f t="shared" si="1"/>
        <v>0.59510185397116033</v>
      </c>
      <c r="O17" s="118">
        <f t="shared" si="7"/>
        <v>4</v>
      </c>
      <c r="Q17" s="119">
        <v>100</v>
      </c>
      <c r="R17" s="126">
        <f t="shared" si="8"/>
        <v>12.207217517357137</v>
      </c>
      <c r="S17" s="127">
        <f t="shared" si="2"/>
        <v>0</v>
      </c>
      <c r="T17" s="128">
        <f t="shared" si="3"/>
        <v>0</v>
      </c>
      <c r="U17" s="118">
        <f t="shared" si="9"/>
        <v>0</v>
      </c>
      <c r="W17" s="119">
        <v>100</v>
      </c>
      <c r="X17" s="126">
        <f t="shared" si="10"/>
        <v>12.207217517357137</v>
      </c>
      <c r="Y17" s="127">
        <f t="shared" si="4"/>
        <v>2.4414435034714272</v>
      </c>
      <c r="Z17" s="128">
        <f t="shared" si="5"/>
        <v>3.6621652552071411</v>
      </c>
      <c r="AA17" s="118">
        <f t="shared" si="11"/>
        <v>24</v>
      </c>
    </row>
    <row r="18" spans="2:27">
      <c r="K18" s="119">
        <v>100</v>
      </c>
      <c r="L18" s="126">
        <f t="shared" si="6"/>
        <v>12.207217517357137</v>
      </c>
      <c r="M18" s="127">
        <f t="shared" si="0"/>
        <v>0.79346913862821389</v>
      </c>
      <c r="N18" s="128">
        <f t="shared" si="1"/>
        <v>1.1902037079423207</v>
      </c>
      <c r="O18" s="118">
        <f t="shared" si="7"/>
        <v>8</v>
      </c>
      <c r="Q18" s="119">
        <v>150</v>
      </c>
      <c r="R18" s="126">
        <f t="shared" si="8"/>
        <v>18.310826276035705</v>
      </c>
      <c r="S18" s="127">
        <f t="shared" si="2"/>
        <v>0</v>
      </c>
      <c r="T18" s="128">
        <f t="shared" si="3"/>
        <v>0</v>
      </c>
      <c r="U18" s="118">
        <f t="shared" si="9"/>
        <v>0</v>
      </c>
      <c r="W18" s="119">
        <v>150</v>
      </c>
      <c r="X18" s="126">
        <f t="shared" si="10"/>
        <v>18.310826276035705</v>
      </c>
      <c r="Y18" s="127">
        <f t="shared" si="4"/>
        <v>3.6621652552071411</v>
      </c>
      <c r="Z18" s="128">
        <f t="shared" si="5"/>
        <v>5.493247882810711</v>
      </c>
      <c r="AA18" s="118">
        <f t="shared" si="11"/>
        <v>36</v>
      </c>
    </row>
    <row r="19" spans="2:27">
      <c r="B19" s="139" t="s">
        <v>681</v>
      </c>
      <c r="C19" s="119" t="s">
        <v>682</v>
      </c>
      <c r="D19" s="119">
        <v>8000</v>
      </c>
      <c r="E19" s="119" t="s">
        <v>683</v>
      </c>
      <c r="F19" s="119">
        <v>127</v>
      </c>
      <c r="G19" s="119"/>
      <c r="K19" s="119">
        <v>200</v>
      </c>
      <c r="L19" s="126">
        <f t="shared" si="6"/>
        <v>24.414435034714273</v>
      </c>
      <c r="M19" s="127">
        <f t="shared" si="0"/>
        <v>1.5869382772564278</v>
      </c>
      <c r="N19" s="128">
        <f t="shared" si="1"/>
        <v>2.3804074158846413</v>
      </c>
      <c r="O19" s="118">
        <f t="shared" si="7"/>
        <v>16</v>
      </c>
      <c r="Q19" s="119">
        <v>200</v>
      </c>
      <c r="R19" s="126">
        <f t="shared" si="8"/>
        <v>24.414435034714273</v>
      </c>
      <c r="S19" s="127">
        <f t="shared" si="2"/>
        <v>0</v>
      </c>
      <c r="T19" s="128">
        <f t="shared" si="3"/>
        <v>0</v>
      </c>
      <c r="U19" s="118">
        <f t="shared" si="9"/>
        <v>0</v>
      </c>
      <c r="W19" s="119">
        <v>200</v>
      </c>
      <c r="X19" s="126">
        <f t="shared" si="10"/>
        <v>24.414435034714273</v>
      </c>
      <c r="Y19" s="127">
        <f t="shared" si="4"/>
        <v>4.8828870069428545</v>
      </c>
      <c r="Z19" s="128">
        <f t="shared" si="5"/>
        <v>7.3243305104142822</v>
      </c>
      <c r="AA19" s="118">
        <f t="shared" si="11"/>
        <v>48</v>
      </c>
    </row>
    <row r="20" spans="2:27">
      <c r="B20" s="119" t="s">
        <v>672</v>
      </c>
      <c r="C20" s="119" t="s">
        <v>684</v>
      </c>
      <c r="D20" s="119" t="s">
        <v>664</v>
      </c>
      <c r="E20" s="119" t="s">
        <v>665</v>
      </c>
      <c r="F20" s="119" t="s">
        <v>680</v>
      </c>
      <c r="G20" s="119" t="s">
        <v>656</v>
      </c>
      <c r="K20" s="119">
        <v>300</v>
      </c>
      <c r="L20" s="126">
        <f t="shared" si="6"/>
        <v>36.62165255207141</v>
      </c>
      <c r="M20" s="127">
        <f t="shared" si="0"/>
        <v>2.3804074158846413</v>
      </c>
      <c r="N20" s="128">
        <f t="shared" si="1"/>
        <v>3.5706111238269616</v>
      </c>
      <c r="O20" s="118">
        <f t="shared" si="7"/>
        <v>23</v>
      </c>
      <c r="Q20" s="119">
        <v>300</v>
      </c>
      <c r="R20" s="126">
        <f t="shared" si="8"/>
        <v>36.62165255207141</v>
      </c>
      <c r="S20" s="127">
        <f t="shared" si="2"/>
        <v>0</v>
      </c>
      <c r="T20" s="128">
        <f t="shared" si="3"/>
        <v>0</v>
      </c>
      <c r="U20" s="118">
        <f t="shared" si="9"/>
        <v>0</v>
      </c>
      <c r="W20" s="119">
        <v>300</v>
      </c>
      <c r="X20" s="126">
        <f t="shared" si="10"/>
        <v>36.62165255207141</v>
      </c>
      <c r="Y20" s="127">
        <f t="shared" si="4"/>
        <v>7.3243305104142822</v>
      </c>
      <c r="Z20" s="128">
        <f t="shared" si="5"/>
        <v>10.986495765621422</v>
      </c>
      <c r="AA20" s="118">
        <f t="shared" si="11"/>
        <v>72</v>
      </c>
    </row>
    <row r="21" spans="2:27">
      <c r="B21" s="119" t="s">
        <v>685</v>
      </c>
      <c r="C21" s="118">
        <v>2</v>
      </c>
      <c r="D21" s="126">
        <f>$D$19/$F$19*C21</f>
        <v>125.98425196850394</v>
      </c>
      <c r="E21" s="127">
        <f>D21*$B$6/1000</f>
        <v>25.196850393700789</v>
      </c>
      <c r="F21" s="127">
        <f>E21/$E$6*$F$6</f>
        <v>37.795275590551185</v>
      </c>
      <c r="G21" s="118">
        <f>ROUND(F21/1000/$E$3*$D$3, 0)</f>
        <v>248</v>
      </c>
      <c r="K21" s="119">
        <v>500</v>
      </c>
      <c r="L21" s="126">
        <f t="shared" si="6"/>
        <v>61.03608758678569</v>
      </c>
      <c r="M21" s="127">
        <f t="shared" si="0"/>
        <v>3.9673456931410698</v>
      </c>
      <c r="N21" s="128">
        <f t="shared" si="1"/>
        <v>5.9510185397116047</v>
      </c>
      <c r="O21" s="118">
        <f t="shared" si="7"/>
        <v>39</v>
      </c>
      <c r="Q21" s="119">
        <v>500</v>
      </c>
      <c r="R21" s="126">
        <f t="shared" si="8"/>
        <v>61.03608758678569</v>
      </c>
      <c r="S21" s="127">
        <f t="shared" si="2"/>
        <v>0</v>
      </c>
      <c r="T21" s="128">
        <f t="shared" si="3"/>
        <v>0</v>
      </c>
      <c r="U21" s="118">
        <f t="shared" si="9"/>
        <v>0</v>
      </c>
      <c r="W21" s="119">
        <v>500</v>
      </c>
      <c r="X21" s="126">
        <f t="shared" si="10"/>
        <v>61.03608758678569</v>
      </c>
      <c r="Y21" s="127">
        <f t="shared" si="4"/>
        <v>12.207217517357138</v>
      </c>
      <c r="Z21" s="128">
        <f t="shared" si="5"/>
        <v>18.310826276035709</v>
      </c>
      <c r="AA21" s="118">
        <f t="shared" si="11"/>
        <v>120</v>
      </c>
    </row>
    <row r="22" spans="2:27">
      <c r="B22" s="119" t="s">
        <v>686</v>
      </c>
      <c r="C22" s="118">
        <v>4</v>
      </c>
      <c r="D22" s="126">
        <f t="shared" ref="D22:D24" si="12">$D$19/$F$19*C22</f>
        <v>251.96850393700788</v>
      </c>
      <c r="E22" s="127">
        <f>D22*$B$6/1000</f>
        <v>50.393700787401578</v>
      </c>
      <c r="F22" s="127">
        <f t="shared" ref="F22:F23" si="13">E22/$E$6*$F$6</f>
        <v>75.59055118110237</v>
      </c>
      <c r="G22" s="118">
        <f t="shared" ref="G22:G23" si="14">ROUND(F22/1000/$E$3*$D$3, 0)</f>
        <v>495</v>
      </c>
      <c r="K22" s="119">
        <v>1000</v>
      </c>
      <c r="L22" s="126">
        <f t="shared" si="6"/>
        <v>122.07217517357138</v>
      </c>
      <c r="M22" s="127">
        <f t="shared" si="0"/>
        <v>7.9346913862821395</v>
      </c>
      <c r="N22" s="128">
        <f t="shared" si="1"/>
        <v>11.902037079423209</v>
      </c>
      <c r="O22" s="118">
        <f t="shared" si="7"/>
        <v>78</v>
      </c>
      <c r="Q22" s="119">
        <v>1000</v>
      </c>
      <c r="R22" s="126">
        <f t="shared" si="8"/>
        <v>122.07217517357138</v>
      </c>
      <c r="S22" s="127">
        <f t="shared" si="2"/>
        <v>0</v>
      </c>
      <c r="T22" s="128">
        <f t="shared" si="3"/>
        <v>0</v>
      </c>
      <c r="U22" s="118">
        <f t="shared" si="9"/>
        <v>0</v>
      </c>
      <c r="W22" s="119">
        <v>1000</v>
      </c>
      <c r="X22" s="126">
        <f t="shared" si="10"/>
        <v>122.07217517357138</v>
      </c>
      <c r="Y22" s="127">
        <f t="shared" si="4"/>
        <v>24.414435034714277</v>
      </c>
      <c r="Z22" s="128">
        <f t="shared" si="5"/>
        <v>36.621652552071417</v>
      </c>
      <c r="AA22" s="118">
        <f t="shared" si="11"/>
        <v>240</v>
      </c>
    </row>
    <row r="23" spans="2:27">
      <c r="B23" s="119" t="s">
        <v>687</v>
      </c>
      <c r="C23" s="118">
        <f>(C22+C21)/2</f>
        <v>3</v>
      </c>
      <c r="D23" s="126">
        <f t="shared" si="12"/>
        <v>188.97637795275591</v>
      </c>
      <c r="E23" s="127">
        <f>D23*$B$6/1000</f>
        <v>37.795275590551178</v>
      </c>
      <c r="F23" s="127">
        <f t="shared" si="13"/>
        <v>56.692913385826763</v>
      </c>
      <c r="G23" s="118">
        <f t="shared" si="14"/>
        <v>372</v>
      </c>
      <c r="K23" s="119">
        <v>2000</v>
      </c>
      <c r="L23" s="126">
        <f t="shared" si="6"/>
        <v>244.14435034714276</v>
      </c>
      <c r="M23" s="127">
        <f t="shared" si="0"/>
        <v>15.869382772564279</v>
      </c>
      <c r="N23" s="128">
        <f t="shared" si="1"/>
        <v>23.804074158846419</v>
      </c>
      <c r="O23" s="118">
        <f t="shared" si="7"/>
        <v>156</v>
      </c>
      <c r="Q23" s="119">
        <v>2000</v>
      </c>
      <c r="R23" s="126">
        <f t="shared" si="8"/>
        <v>244.14435034714276</v>
      </c>
      <c r="S23" s="127">
        <f t="shared" si="2"/>
        <v>0</v>
      </c>
      <c r="T23" s="128">
        <f t="shared" si="3"/>
        <v>0</v>
      </c>
      <c r="U23" s="118">
        <f t="shared" si="9"/>
        <v>0</v>
      </c>
      <c r="W23" s="119">
        <v>2000</v>
      </c>
      <c r="X23" s="126">
        <f t="shared" si="10"/>
        <v>244.14435034714276</v>
      </c>
      <c r="Y23" s="127">
        <f t="shared" si="4"/>
        <v>48.828870069428554</v>
      </c>
      <c r="Z23" s="128">
        <f t="shared" si="5"/>
        <v>73.243305104142834</v>
      </c>
      <c r="AA23" s="118">
        <f t="shared" si="11"/>
        <v>480</v>
      </c>
    </row>
    <row r="24" spans="2:27">
      <c r="B24" s="119" t="s">
        <v>688</v>
      </c>
      <c r="C24" s="118">
        <v>30</v>
      </c>
      <c r="D24" s="126">
        <f t="shared" si="12"/>
        <v>1889.7637795275591</v>
      </c>
      <c r="E24" s="127">
        <f>D24*$C$6/1000</f>
        <v>0</v>
      </c>
      <c r="F24" s="127">
        <f>E24/$E$6*$F$6</f>
        <v>0</v>
      </c>
      <c r="G24" s="118">
        <f>ROUND(F24/1000/$E$3*$D$3, 0)</f>
        <v>0</v>
      </c>
      <c r="K24" s="119">
        <v>5000</v>
      </c>
      <c r="L24" s="126">
        <f t="shared" si="6"/>
        <v>610.36087586785686</v>
      </c>
      <c r="M24" s="127">
        <f t="shared" si="0"/>
        <v>39.673456931410698</v>
      </c>
      <c r="N24" s="128">
        <f t="shared" si="1"/>
        <v>59.510185397116047</v>
      </c>
      <c r="O24" s="118">
        <f t="shared" si="7"/>
        <v>390</v>
      </c>
      <c r="P24" s="140"/>
      <c r="Q24" s="119">
        <v>5000</v>
      </c>
      <c r="R24" s="126">
        <f t="shared" si="8"/>
        <v>610.36087586785686</v>
      </c>
      <c r="S24" s="127">
        <f t="shared" si="2"/>
        <v>0</v>
      </c>
      <c r="T24" s="128">
        <f t="shared" si="3"/>
        <v>0</v>
      </c>
      <c r="U24" s="118">
        <f t="shared" si="9"/>
        <v>0</v>
      </c>
      <c r="W24" s="119">
        <f>512*5</f>
        <v>2560</v>
      </c>
      <c r="X24" s="126">
        <f t="shared" si="10"/>
        <v>312.50476844434274</v>
      </c>
      <c r="Y24" s="127">
        <f t="shared" si="4"/>
        <v>62.500953688868549</v>
      </c>
      <c r="Z24" s="128">
        <f t="shared" si="5"/>
        <v>93.751430533302823</v>
      </c>
      <c r="AA24" s="118">
        <f t="shared" si="11"/>
        <v>614</v>
      </c>
    </row>
    <row r="25" spans="2:27">
      <c r="K25" s="119">
        <v>10000</v>
      </c>
      <c r="L25" s="126">
        <f t="shared" si="6"/>
        <v>1220.7217517357137</v>
      </c>
      <c r="M25" s="127">
        <f t="shared" si="0"/>
        <v>79.346913862821395</v>
      </c>
      <c r="N25" s="128">
        <f t="shared" si="1"/>
        <v>119.02037079423209</v>
      </c>
      <c r="O25" s="118">
        <f t="shared" si="7"/>
        <v>780</v>
      </c>
      <c r="P25" s="140"/>
      <c r="Q25" s="119">
        <v>10000</v>
      </c>
      <c r="R25" s="126">
        <f t="shared" si="8"/>
        <v>1220.7217517357137</v>
      </c>
      <c r="S25" s="127">
        <f t="shared" si="2"/>
        <v>0</v>
      </c>
      <c r="T25" s="128">
        <f t="shared" si="3"/>
        <v>0</v>
      </c>
      <c r="U25" s="118">
        <f t="shared" si="9"/>
        <v>0</v>
      </c>
      <c r="W25" s="119">
        <v>4100</v>
      </c>
      <c r="X25" s="126">
        <f t="shared" si="10"/>
        <v>500.49591821164262</v>
      </c>
      <c r="Y25" s="127">
        <f t="shared" si="4"/>
        <v>100.09918364232853</v>
      </c>
      <c r="Z25" s="128">
        <f t="shared" si="5"/>
        <v>150.1487754634928</v>
      </c>
      <c r="AA25" s="118">
        <f t="shared" si="11"/>
        <v>984</v>
      </c>
    </row>
    <row r="26" spans="2:27">
      <c r="K26" s="119">
        <v>30000</v>
      </c>
      <c r="L26" s="126">
        <f t="shared" si="6"/>
        <v>3662.1652552071414</v>
      </c>
      <c r="M26" s="127">
        <f t="shared" si="0"/>
        <v>238.04074158846419</v>
      </c>
      <c r="N26" s="128">
        <f t="shared" si="1"/>
        <v>357.06111238269625</v>
      </c>
      <c r="O26" s="118">
        <f t="shared" si="7"/>
        <v>2340</v>
      </c>
      <c r="Q26" s="119">
        <v>30000</v>
      </c>
      <c r="R26" s="126">
        <f t="shared" si="8"/>
        <v>3662.1652552071414</v>
      </c>
      <c r="S26" s="127">
        <f t="shared" si="2"/>
        <v>0</v>
      </c>
      <c r="T26" s="128">
        <f t="shared" si="3"/>
        <v>0</v>
      </c>
      <c r="U26" s="118">
        <f t="shared" si="9"/>
        <v>0</v>
      </c>
      <c r="W26" s="119">
        <v>30000</v>
      </c>
      <c r="X26" s="126">
        <f t="shared" si="10"/>
        <v>3662.1652552071414</v>
      </c>
      <c r="Y26" s="127">
        <f t="shared" si="4"/>
        <v>732.43305104142826</v>
      </c>
      <c r="Z26" s="128">
        <f t="shared" si="5"/>
        <v>1098.6495765621423</v>
      </c>
      <c r="AA26" s="118">
        <f t="shared" si="11"/>
        <v>7200</v>
      </c>
    </row>
    <row r="27" spans="2:27">
      <c r="K27" s="119">
        <v>65535</v>
      </c>
      <c r="L27" s="126">
        <f t="shared" si="6"/>
        <v>8000</v>
      </c>
      <c r="M27" s="127">
        <f t="shared" si="0"/>
        <v>520</v>
      </c>
      <c r="N27" s="128">
        <f t="shared" si="1"/>
        <v>780</v>
      </c>
      <c r="O27" s="118">
        <f t="shared" si="7"/>
        <v>5112</v>
      </c>
      <c r="Q27" s="119">
        <v>65535</v>
      </c>
      <c r="R27" s="126">
        <f t="shared" si="8"/>
        <v>8000</v>
      </c>
      <c r="S27" s="127">
        <f t="shared" si="2"/>
        <v>0</v>
      </c>
      <c r="T27" s="128">
        <f t="shared" si="3"/>
        <v>0</v>
      </c>
      <c r="U27" s="118">
        <f t="shared" si="9"/>
        <v>0</v>
      </c>
      <c r="W27" s="119">
        <v>65535</v>
      </c>
      <c r="X27" s="126">
        <f t="shared" si="10"/>
        <v>8000</v>
      </c>
      <c r="Y27" s="127">
        <f t="shared" si="4"/>
        <v>1600</v>
      </c>
      <c r="Z27" s="128">
        <f t="shared" si="5"/>
        <v>2400</v>
      </c>
      <c r="AA27" s="118">
        <f t="shared" si="11"/>
        <v>15728</v>
      </c>
    </row>
    <row r="28" spans="2:27">
      <c r="P28" s="140"/>
      <c r="Q28" s="140"/>
      <c r="R28" s="140"/>
      <c r="S28" s="140"/>
      <c r="T28" s="128"/>
    </row>
    <row r="29" spans="2:27">
      <c r="R29" s="126"/>
      <c r="S29" s="140"/>
      <c r="T29" s="128"/>
    </row>
    <row r="30" spans="2:27">
      <c r="R30" s="126"/>
      <c r="S30" s="141"/>
      <c r="T30" s="128"/>
    </row>
    <row r="31" spans="2:27">
      <c r="R31" s="126"/>
      <c r="S31" s="140"/>
      <c r="T31" s="128"/>
    </row>
    <row r="32" spans="2:27">
      <c r="R32" s="126"/>
      <c r="S32" s="140"/>
      <c r="T32" s="128"/>
    </row>
    <row r="33" spans="15:20">
      <c r="R33" s="126"/>
      <c r="S33" s="140"/>
      <c r="T33" s="128"/>
    </row>
    <row r="34" spans="15:20">
      <c r="R34" s="126"/>
      <c r="S34" s="140"/>
      <c r="T34" s="128"/>
    </row>
    <row r="35" spans="15:20">
      <c r="O35" s="140"/>
      <c r="P35" s="140"/>
      <c r="Q35" s="140"/>
      <c r="R35" s="140"/>
    </row>
    <row r="36" spans="15:20">
      <c r="O36" s="140"/>
      <c r="P36" s="140"/>
      <c r="Q36" s="140"/>
      <c r="R36" s="140"/>
    </row>
    <row r="37" spans="15:20">
      <c r="O37" s="140"/>
      <c r="P37" s="140"/>
      <c r="Q37" s="140"/>
      <c r="R37" s="140"/>
    </row>
    <row r="38" spans="15:20">
      <c r="O38" s="140"/>
      <c r="P38" s="140"/>
      <c r="Q38" s="140"/>
      <c r="R38" s="140"/>
      <c r="S38" s="140"/>
      <c r="T38" s="128"/>
    </row>
    <row r="39" spans="15:20">
      <c r="O39" s="140"/>
      <c r="P39" s="140"/>
      <c r="Q39" s="140"/>
      <c r="R39" s="140"/>
    </row>
    <row r="40" spans="15:20">
      <c r="O40" s="140"/>
      <c r="P40" s="140"/>
      <c r="Q40" s="140"/>
      <c r="R40" s="140"/>
    </row>
    <row r="41" spans="15:20">
      <c r="O41" s="140"/>
      <c r="P41" s="140"/>
      <c r="Q41" s="140"/>
      <c r="R41" s="140"/>
    </row>
    <row r="42" spans="15:20">
      <c r="O42" s="140"/>
      <c r="P42" s="140"/>
      <c r="Q42" s="140"/>
      <c r="R42" s="140"/>
    </row>
    <row r="43" spans="15:20">
      <c r="O43" s="140"/>
      <c r="P43" s="140"/>
      <c r="Q43" s="140"/>
      <c r="R43" s="140"/>
    </row>
    <row r="44" spans="15:20">
      <c r="O44" s="140"/>
      <c r="P44" s="140"/>
      <c r="Q44" s="140"/>
      <c r="R44" s="140"/>
    </row>
    <row r="45" spans="15:20">
      <c r="O45" s="140"/>
      <c r="P45" s="140"/>
      <c r="Q45" s="140"/>
      <c r="R45" s="140"/>
    </row>
    <row r="46" spans="15:20">
      <c r="O46" s="140"/>
      <c r="P46" s="140"/>
      <c r="Q46" s="140"/>
      <c r="R46" s="140"/>
    </row>
    <row r="47" spans="15:20">
      <c r="O47" s="140"/>
      <c r="P47" s="140"/>
      <c r="Q47" s="140"/>
      <c r="R47" s="140"/>
    </row>
    <row r="48" spans="15:20">
      <c r="O48" s="140"/>
      <c r="P48" s="140"/>
      <c r="Q48" s="140"/>
      <c r="R48" s="140"/>
    </row>
    <row r="49" spans="15:20">
      <c r="O49" s="140"/>
      <c r="P49" s="140"/>
      <c r="Q49" s="140"/>
      <c r="R49" s="140"/>
    </row>
    <row r="50" spans="15:20">
      <c r="O50" s="140"/>
      <c r="P50" s="140"/>
      <c r="Q50" s="140"/>
      <c r="R50" s="140"/>
    </row>
    <row r="51" spans="15:20">
      <c r="O51" s="140"/>
      <c r="P51" s="140"/>
      <c r="Q51" s="140"/>
      <c r="R51" s="140"/>
      <c r="S51" s="140"/>
      <c r="T51" s="128"/>
    </row>
    <row r="52" spans="15:20">
      <c r="O52" s="140"/>
      <c r="P52" s="140"/>
      <c r="Q52" s="140"/>
      <c r="R52" s="140"/>
      <c r="S52" s="140"/>
      <c r="T52" s="128"/>
    </row>
    <row r="53" spans="15:20">
      <c r="O53" s="140"/>
      <c r="P53" s="140"/>
      <c r="Q53" s="140"/>
      <c r="R53" s="140"/>
      <c r="S53" s="140"/>
      <c r="T53" s="128"/>
    </row>
    <row r="54" spans="15:20">
      <c r="O54" s="140"/>
      <c r="P54" s="140"/>
      <c r="Q54" s="140"/>
      <c r="R54" s="140"/>
      <c r="S54" s="140"/>
      <c r="T54" s="128"/>
    </row>
    <row r="55" spans="15:20">
      <c r="O55" s="140"/>
      <c r="P55" s="140"/>
      <c r="Q55" s="140"/>
      <c r="R55" s="140"/>
      <c r="S55" s="140"/>
      <c r="T55" s="128"/>
    </row>
    <row r="56" spans="15:20">
      <c r="O56" s="140"/>
      <c r="P56" s="140"/>
      <c r="Q56" s="140"/>
      <c r="R56" s="140"/>
      <c r="S56" s="140"/>
      <c r="T56" s="128"/>
    </row>
    <row r="57" spans="15:20">
      <c r="O57" s="140"/>
      <c r="P57" s="140"/>
      <c r="Q57" s="140"/>
      <c r="R57" s="140"/>
      <c r="S57" s="140"/>
      <c r="T57" s="128"/>
    </row>
    <row r="58" spans="15:20">
      <c r="O58" s="140"/>
      <c r="P58" s="140"/>
      <c r="Q58" s="140"/>
      <c r="R58" s="140"/>
      <c r="S58" s="140"/>
      <c r="T58" s="128"/>
    </row>
    <row r="59" spans="15:20">
      <c r="O59" s="140"/>
      <c r="P59" s="140"/>
      <c r="Q59" s="140"/>
      <c r="R59" s="140"/>
      <c r="S59" s="140"/>
      <c r="T59" s="128"/>
    </row>
    <row r="60" spans="15:20">
      <c r="O60" s="140"/>
      <c r="P60" s="140"/>
      <c r="Q60" s="140"/>
      <c r="R60" s="140"/>
      <c r="S60" s="140"/>
      <c r="T60" s="128"/>
    </row>
    <row r="61" spans="15:20">
      <c r="O61" s="140"/>
      <c r="P61" s="140"/>
      <c r="Q61" s="140"/>
      <c r="R61" s="140"/>
      <c r="S61" s="140"/>
      <c r="T61" s="128"/>
    </row>
    <row r="62" spans="15:20">
      <c r="O62" s="140"/>
      <c r="P62" s="140"/>
      <c r="Q62" s="140"/>
      <c r="R62" s="140"/>
      <c r="S62" s="140"/>
      <c r="T62" s="128"/>
    </row>
    <row r="63" spans="15:20">
      <c r="O63" s="140"/>
      <c r="P63" s="140"/>
      <c r="Q63" s="140"/>
      <c r="R63" s="140"/>
      <c r="S63" s="140"/>
      <c r="T63" s="128"/>
    </row>
    <row r="64" spans="15:20">
      <c r="O64" s="140"/>
      <c r="P64" s="140"/>
      <c r="Q64" s="140"/>
      <c r="R64" s="140"/>
      <c r="S64" s="140"/>
      <c r="T64" s="128"/>
    </row>
    <row r="65" spans="15:20">
      <c r="O65" s="140"/>
      <c r="P65" s="140"/>
      <c r="Q65" s="140"/>
      <c r="R65" s="140"/>
      <c r="S65" s="140"/>
      <c r="T65" s="128"/>
    </row>
    <row r="66" spans="15:20">
      <c r="O66" s="140"/>
      <c r="P66" s="140"/>
      <c r="Q66" s="140"/>
      <c r="R66" s="140"/>
      <c r="S66" s="140"/>
      <c r="T66" s="128"/>
    </row>
    <row r="67" spans="15:20">
      <c r="O67" s="140"/>
      <c r="P67" s="140"/>
      <c r="Q67" s="140"/>
      <c r="R67" s="140"/>
      <c r="S67" s="140"/>
      <c r="T67" s="128"/>
    </row>
    <row r="68" spans="15:20">
      <c r="O68" s="140"/>
      <c r="P68" s="140"/>
      <c r="Q68" s="140"/>
      <c r="R68" s="140"/>
      <c r="S68" s="140"/>
      <c r="T68" s="128"/>
    </row>
    <row r="69" spans="15:20">
      <c r="O69" s="140"/>
      <c r="P69" s="140"/>
      <c r="Q69" s="140"/>
      <c r="R69" s="140"/>
    </row>
    <row r="70" spans="15:20">
      <c r="O70" s="140"/>
      <c r="P70" s="140"/>
      <c r="Q70" s="140"/>
      <c r="R70" s="140"/>
    </row>
    <row r="71" spans="15:20">
      <c r="O71" s="140"/>
      <c r="P71" s="140"/>
      <c r="Q71" s="140"/>
      <c r="R71" s="140"/>
    </row>
    <row r="72" spans="15:20">
      <c r="O72" s="140"/>
      <c r="P72" s="140"/>
      <c r="Q72" s="140"/>
      <c r="R72" s="140"/>
    </row>
    <row r="73" spans="15:20">
      <c r="O73" s="140"/>
      <c r="P73" s="140"/>
      <c r="Q73" s="140"/>
      <c r="R73" s="140"/>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Register Description</vt:lpstr>
      <vt:lpstr>Testmode Reg. Table</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2025-04-17T08:48:13Z</dcterms:modified>
</cp:coreProperties>
</file>