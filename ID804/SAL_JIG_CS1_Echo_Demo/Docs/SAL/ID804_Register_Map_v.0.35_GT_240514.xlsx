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C:\working\01_Project\Jig\SAL_JIG\SAL_JIG_ES0\Docs\SAL\"/>
    </mc:Choice>
  </mc:AlternateContent>
  <xr:revisionPtr revIDLastSave="0" documentId="13_ncr:1_{06C92657-7B2D-406F-B502-A850EE9A8588}" xr6:coauthVersionLast="47" xr6:coauthVersionMax="47" xr10:uidLastSave="{00000000-0000-0000-0000-000000000000}"/>
  <bookViews>
    <workbookView xWindow="-98" yWindow="-98" windowWidth="21795" windowHeight="12975" firstSheet="3" activeTab="5" xr2:uid="{D20AABC9-CC9B-4792-81A5-BA0DEE2E934B}"/>
  </bookViews>
  <sheets>
    <sheet name="WR command" sheetId="1" state="hidden" r:id="rId1"/>
    <sheet name=" RD command" sheetId="2" state="hidden" r:id="rId2"/>
    <sheet name="frame format" sheetId="5" state="hidden" r:id="rId3"/>
    <sheet name="Command" sheetId="13" r:id="rId4"/>
    <sheet name="Register Table" sheetId="9" r:id="rId5"/>
    <sheet name="Register Description" sheetId="3" r:id="rId6"/>
    <sheet name="Testmode Reg. Table" sheetId="10" r:id="rId7"/>
    <sheet name="Testmode Reg. Description" sheetId="8" r:id="rId8"/>
    <sheet name="adc" sheetId="14" r:id="rId9"/>
  </sheets>
  <definedNames>
    <definedName name="OLE_LINK288" localSheetId="3">Command!$E$5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14" i="10" l="1"/>
  <c r="W15" i="10"/>
  <c r="W29" i="10"/>
  <c r="W24" i="10"/>
  <c r="W22" i="10"/>
  <c r="W21" i="10"/>
  <c r="W20" i="10"/>
  <c r="W19" i="10"/>
  <c r="W18" i="10"/>
  <c r="AA26" i="9" l="1"/>
  <c r="W53" i="13"/>
  <c r="C53" i="13"/>
  <c r="AF27" i="13"/>
  <c r="W27" i="13"/>
  <c r="C27" i="13"/>
  <c r="F27" i="13"/>
  <c r="AA33" i="9"/>
  <c r="AA32" i="9"/>
  <c r="AA31" i="9"/>
  <c r="AA30" i="9"/>
  <c r="W17" i="10"/>
  <c r="W13" i="10"/>
  <c r="W16" i="10"/>
  <c r="W52" i="13" l="1"/>
  <c r="C52" i="13"/>
  <c r="W51" i="13"/>
  <c r="C51" i="13"/>
  <c r="W50" i="13"/>
  <c r="C50" i="13"/>
  <c r="W49" i="13"/>
  <c r="C49" i="13"/>
  <c r="W48" i="13"/>
  <c r="C48" i="13"/>
  <c r="W47" i="13"/>
  <c r="C47" i="13"/>
  <c r="W46" i="13"/>
  <c r="C46" i="13"/>
  <c r="W45" i="13"/>
  <c r="C45" i="13"/>
  <c r="W44" i="13"/>
  <c r="C44" i="13"/>
  <c r="W43" i="13"/>
  <c r="C43" i="13"/>
  <c r="W42" i="13"/>
  <c r="C42" i="13"/>
  <c r="W41" i="13"/>
  <c r="C41" i="13"/>
  <c r="W40" i="13"/>
  <c r="C40" i="13"/>
  <c r="W39" i="13"/>
  <c r="C39" i="13"/>
  <c r="W38" i="13"/>
  <c r="C38" i="13"/>
  <c r="W37" i="13"/>
  <c r="C37" i="13"/>
  <c r="W36" i="13"/>
  <c r="C36" i="13"/>
  <c r="W35" i="13"/>
  <c r="C35" i="13"/>
  <c r="W34" i="13"/>
  <c r="C34" i="13"/>
  <c r="W33" i="13"/>
  <c r="C33" i="13"/>
  <c r="W32" i="13"/>
  <c r="C32" i="13"/>
  <c r="W31" i="13"/>
  <c r="C31" i="13"/>
  <c r="W30" i="13"/>
  <c r="C30" i="13"/>
  <c r="W29" i="13"/>
  <c r="C29" i="13"/>
  <c r="W28" i="13"/>
  <c r="C28" i="13"/>
  <c r="AF26" i="13"/>
  <c r="W26" i="13"/>
  <c r="F26" i="13"/>
  <c r="C26" i="13"/>
  <c r="AF25" i="13"/>
  <c r="W25" i="13"/>
  <c r="F25" i="13"/>
  <c r="C25" i="13"/>
  <c r="AF24" i="13"/>
  <c r="W24" i="13"/>
  <c r="F24" i="13"/>
  <c r="C24" i="13"/>
  <c r="AF23" i="13"/>
  <c r="W23" i="13"/>
  <c r="F23" i="13"/>
  <c r="C23" i="13"/>
  <c r="AF22" i="13"/>
  <c r="W22" i="13"/>
  <c r="F22" i="13"/>
  <c r="C22" i="13"/>
  <c r="AF21" i="13"/>
  <c r="W21" i="13"/>
  <c r="F21" i="13"/>
  <c r="C21" i="13"/>
  <c r="AF20" i="13"/>
  <c r="W20" i="13"/>
  <c r="F20" i="13"/>
  <c r="C20" i="13"/>
  <c r="AF19" i="13"/>
  <c r="W19" i="13"/>
  <c r="F19" i="13"/>
  <c r="C19" i="13"/>
  <c r="AF18" i="13"/>
  <c r="W18" i="13"/>
  <c r="F18" i="13"/>
  <c r="C18" i="13"/>
  <c r="AF17" i="13"/>
  <c r="W17" i="13"/>
  <c r="F17" i="13"/>
  <c r="C17" i="13"/>
  <c r="AF16" i="13"/>
  <c r="W16" i="13"/>
  <c r="F16" i="13"/>
  <c r="C16" i="13"/>
  <c r="AF15" i="13"/>
  <c r="W15" i="13"/>
  <c r="F15" i="13"/>
  <c r="C15" i="13"/>
  <c r="AF14" i="13"/>
  <c r="W14" i="13"/>
  <c r="F14" i="13"/>
  <c r="C14" i="13"/>
  <c r="AF13" i="13"/>
  <c r="W13" i="13"/>
  <c r="F13" i="13"/>
  <c r="C13" i="13"/>
  <c r="AF12" i="13"/>
  <c r="W12" i="13"/>
  <c r="F12" i="13"/>
  <c r="C12" i="13"/>
  <c r="AF11" i="13"/>
  <c r="W11" i="13"/>
  <c r="F11" i="13"/>
  <c r="C11" i="13"/>
  <c r="AF10" i="13"/>
  <c r="W10" i="13"/>
  <c r="F10" i="13"/>
  <c r="C10" i="13"/>
  <c r="AF9" i="13"/>
  <c r="W9" i="13"/>
  <c r="F9" i="13"/>
  <c r="C9" i="13"/>
  <c r="AF8" i="13"/>
  <c r="W8" i="13"/>
  <c r="F8" i="13"/>
  <c r="C8" i="13"/>
  <c r="AF7" i="13"/>
  <c r="W7" i="13"/>
  <c r="F7" i="13"/>
  <c r="C7" i="13"/>
  <c r="AF6" i="13"/>
  <c r="W6" i="13"/>
  <c r="F6" i="13"/>
  <c r="C6" i="13"/>
  <c r="W5" i="13"/>
  <c r="C5" i="13"/>
  <c r="W4" i="13"/>
  <c r="C4" i="13"/>
  <c r="AA15" i="9" l="1"/>
  <c r="W28" i="10"/>
  <c r="W27" i="10"/>
  <c r="W26" i="10"/>
  <c r="W25" i="10"/>
  <c r="W12" i="10"/>
  <c r="W11" i="10"/>
  <c r="W10" i="10"/>
  <c r="AA16" i="9" l="1"/>
  <c r="AA17" i="9"/>
  <c r="AA18" i="9"/>
  <c r="AA19" i="9"/>
  <c r="AA20" i="9"/>
  <c r="AA21" i="9"/>
  <c r="AA22" i="9"/>
  <c r="AA23" i="9"/>
  <c r="AA24" i="9"/>
  <c r="AA25" i="9"/>
  <c r="AA9" i="9"/>
  <c r="W8" i="10"/>
  <c r="W7" i="10"/>
  <c r="W6" i="10"/>
  <c r="W5" i="10"/>
  <c r="AA7" i="9"/>
  <c r="AA8" i="9"/>
  <c r="AA10" i="9"/>
  <c r="AA11" i="9"/>
  <c r="AA12" i="9"/>
  <c r="AA13" i="9"/>
  <c r="AA14" i="9"/>
  <c r="AA5" i="9"/>
  <c r="AA6" i="9"/>
  <c r="AA4" i="9"/>
</calcChain>
</file>

<file path=xl/sharedStrings.xml><?xml version="1.0" encoding="utf-8"?>
<sst xmlns="http://schemas.openxmlformats.org/spreadsheetml/2006/main" count="3186" uniqueCount="849">
  <si>
    <t>Function</t>
    <phoneticPr fontId="1" type="noConversion"/>
  </si>
  <si>
    <t>WR Command</t>
    <phoneticPr fontId="1" type="noConversion"/>
  </si>
  <si>
    <t>Osram</t>
    <phoneticPr fontId="1" type="noConversion"/>
  </si>
  <si>
    <t>ISELED</t>
    <phoneticPr fontId="1" type="noConversion"/>
  </si>
  <si>
    <t>ID804</t>
    <phoneticPr fontId="1" type="noConversion"/>
  </si>
  <si>
    <t>command name</t>
    <phoneticPr fontId="1" type="noConversion"/>
  </si>
  <si>
    <t>used data length
(bits)</t>
    <phoneticPr fontId="1" type="noConversion"/>
  </si>
  <si>
    <t xml:space="preserve">Encoding </t>
    <phoneticPr fontId="1" type="noConversion"/>
  </si>
  <si>
    <t>RESET &amp; State 전환
(Any State -&gt; UNINIT)</t>
    <phoneticPr fontId="1" type="noConversion"/>
  </si>
  <si>
    <t>RESET</t>
    <phoneticPr fontId="1" type="noConversion"/>
  </si>
  <si>
    <t>digLED_Reset
(communication link reset, Registers not reset)</t>
    <phoneticPr fontId="1" type="noConversion"/>
  </si>
  <si>
    <t>-</t>
    <phoneticPr fontId="1" type="noConversion"/>
  </si>
  <si>
    <t>0x40</t>
    <phoneticPr fontId="1" type="noConversion"/>
  </si>
  <si>
    <t>Normal
command</t>
    <phoneticPr fontId="1" type="noConversion"/>
  </si>
  <si>
    <t>Auto-addressing &amp; State 전환
(UNINIT -&gt; SLEEP)</t>
    <phoneticPr fontId="1" type="noConversion"/>
  </si>
  <si>
    <t>INITBIDIR</t>
  </si>
  <si>
    <t>digLED_Init_Strip</t>
  </si>
  <si>
    <t>INITBIDIR</t>
    <phoneticPr fontId="1" type="noConversion"/>
  </si>
  <si>
    <t>0x41</t>
    <phoneticPr fontId="1" type="noConversion"/>
  </si>
  <si>
    <t>전체 error flag들 write-clear</t>
    <phoneticPr fontId="1" type="noConversion"/>
  </si>
  <si>
    <t>CLRERROR</t>
    <phoneticPr fontId="1" type="noConversion"/>
  </si>
  <si>
    <t>0x42</t>
    <phoneticPr fontId="1" type="noConversion"/>
  </si>
  <si>
    <t>CLRERROR_SR</t>
    <phoneticPr fontId="1" type="noConversion"/>
  </si>
  <si>
    <t>0x62</t>
    <phoneticPr fontId="1" type="noConversion"/>
  </si>
  <si>
    <t>State 전환
(DEEPSLEEP or ACTIVE -&gt; SLEEP)</t>
    <phoneticPr fontId="1" type="noConversion"/>
  </si>
  <si>
    <t>GOSLEEP</t>
  </si>
  <si>
    <t>GOSLEEP</t>
    <phoneticPr fontId="1" type="noConversion"/>
  </si>
  <si>
    <t>0x43</t>
    <phoneticPr fontId="1" type="noConversion"/>
  </si>
  <si>
    <t>GOSLEEP_SR</t>
    <phoneticPr fontId="1" type="noConversion"/>
  </si>
  <si>
    <t>0x63</t>
    <phoneticPr fontId="1" type="noConversion"/>
  </si>
  <si>
    <t>State 전환
(SLEEP or DEEPSLEEP -&gt; ACTIVE)</t>
    <phoneticPr fontId="1" type="noConversion"/>
  </si>
  <si>
    <t>GOACTIVE</t>
  </si>
  <si>
    <t>GOACTIVE</t>
    <phoneticPr fontId="1" type="noConversion"/>
  </si>
  <si>
    <t>0x44</t>
    <phoneticPr fontId="1" type="noConversion"/>
  </si>
  <si>
    <t>GOACTIVE_SR</t>
    <phoneticPr fontId="1" type="noConversion"/>
  </si>
  <si>
    <t>0x64</t>
    <phoneticPr fontId="1" type="noConversion"/>
  </si>
  <si>
    <t>State 전환
(SLEEP or ACTIVE -&gt; DEEPSLEEP)</t>
    <phoneticPr fontId="1" type="noConversion"/>
  </si>
  <si>
    <t>GODEEPSLEEP</t>
  </si>
  <si>
    <t>GODEEPSLEEP</t>
    <phoneticPr fontId="1" type="noConversion"/>
  </si>
  <si>
    <t>0x45</t>
    <phoneticPr fontId="1" type="noConversion"/>
  </si>
  <si>
    <t>GODEEPSLEEP_SR</t>
    <phoneticPr fontId="1" type="noConversion"/>
  </si>
  <si>
    <t>0x65</t>
    <phoneticPr fontId="1" type="noConversion"/>
  </si>
  <si>
    <t>Configuration register 설정</t>
    <phoneticPr fontId="1" type="noConversion"/>
  </si>
  <si>
    <t>SETSETUP</t>
    <phoneticPr fontId="1" type="noConversion"/>
  </si>
  <si>
    <t>SET_SETUP1</t>
    <phoneticPr fontId="1" type="noConversion"/>
  </si>
  <si>
    <t>0x46</t>
    <phoneticPr fontId="1" type="noConversion"/>
  </si>
  <si>
    <t>SET_SETUP1_SR</t>
    <phoneticPr fontId="1" type="noConversion"/>
  </si>
  <si>
    <t>0x66</t>
    <phoneticPr fontId="1" type="noConversion"/>
  </si>
  <si>
    <t>OT filter, UV&amp;Short detection lever 설정</t>
    <phoneticPr fontId="1" type="noConversion"/>
  </si>
  <si>
    <t>SET_SETUP2</t>
    <phoneticPr fontId="1" type="noConversion"/>
  </si>
  <si>
    <t>0x47</t>
    <phoneticPr fontId="1" type="noConversion"/>
  </si>
  <si>
    <t>SET_SETUP2_SR</t>
    <phoneticPr fontId="1" type="noConversion"/>
  </si>
  <si>
    <t>0x67</t>
    <phoneticPr fontId="1" type="noConversion"/>
  </si>
  <si>
    <t>Multi-cast를 위한 grouping 기능</t>
    <phoneticPr fontId="1" type="noConversion"/>
  </si>
  <si>
    <t>digLED_Define_Mcast</t>
    <phoneticPr fontId="1" type="noConversion"/>
  </si>
  <si>
    <t>SET_MCAST</t>
    <phoneticPr fontId="1" type="noConversion"/>
  </si>
  <si>
    <t>0x48</t>
    <phoneticPr fontId="1" type="noConversion"/>
  </si>
  <si>
    <t>SET_MCAST_SR</t>
    <phoneticPr fontId="1" type="noConversion"/>
  </si>
  <si>
    <t>0x68</t>
    <phoneticPr fontId="1" type="noConversion"/>
  </si>
  <si>
    <t>RGB 각 8bit 강도</t>
    <phoneticPr fontId="1" type="noConversion"/>
  </si>
  <si>
    <t>digLED_Set_RGB</t>
  </si>
  <si>
    <t>SET_RGB</t>
    <phoneticPr fontId="1" type="noConversion"/>
  </si>
  <si>
    <t>0x49</t>
    <phoneticPr fontId="1" type="noConversion"/>
  </si>
  <si>
    <t>SET_RGB_SR</t>
    <phoneticPr fontId="1" type="noConversion"/>
  </si>
  <si>
    <t>0x69</t>
    <phoneticPr fontId="1" type="noConversion"/>
  </si>
  <si>
    <t>OT Threshold 설정</t>
    <phoneticPr fontId="1" type="noConversion"/>
  </si>
  <si>
    <t>SETOTTH</t>
    <phoneticPr fontId="1" type="noConversion"/>
  </si>
  <si>
    <t>SET_TEMPTH</t>
    <phoneticPr fontId="1" type="noConversion"/>
  </si>
  <si>
    <t>0x4A</t>
    <phoneticPr fontId="1" type="noConversion"/>
  </si>
  <si>
    <t>SET_TEMPTH_SR</t>
    <phoneticPr fontId="1" type="noConversion"/>
  </si>
  <si>
    <t>0x6A</t>
    <phoneticPr fontId="1" type="noConversion"/>
  </si>
  <si>
    <t>OT HYSTERISIS 설정</t>
    <phoneticPr fontId="1" type="noConversion"/>
  </si>
  <si>
    <t>SET_TEMPHYS</t>
    <phoneticPr fontId="1" type="noConversion"/>
  </si>
  <si>
    <t>0x4B</t>
    <phoneticPr fontId="1" type="noConversion"/>
  </si>
  <si>
    <t>SET_TEMPHYS_SR</t>
    <phoneticPr fontId="1" type="noConversion"/>
  </si>
  <si>
    <t>0x6B</t>
    <phoneticPr fontId="1" type="noConversion"/>
  </si>
  <si>
    <t>SET_TEMP_LUT_TC1</t>
    <phoneticPr fontId="1" type="noConversion"/>
  </si>
  <si>
    <t>digLED_Set_TC_lookup
Red 채널 온도 보상 look up table 개별 항목 작성</t>
    <phoneticPr fontId="1" type="noConversion"/>
  </si>
  <si>
    <t>0x50</t>
    <phoneticPr fontId="1" type="noConversion"/>
  </si>
  <si>
    <t>SET_TEMP_LUT_TC2</t>
    <phoneticPr fontId="1" type="noConversion"/>
  </si>
  <si>
    <t>0x51</t>
    <phoneticPr fontId="1" type="noConversion"/>
  </si>
  <si>
    <t>SET_TEMP_LUT_TC3</t>
  </si>
  <si>
    <t>0x52</t>
    <phoneticPr fontId="1" type="noConversion"/>
  </si>
  <si>
    <t>SET_TEMP_LUT_TC4</t>
  </si>
  <si>
    <t>0x53</t>
    <phoneticPr fontId="1" type="noConversion"/>
  </si>
  <si>
    <t>SET_TEMP_LUT_TC5</t>
  </si>
  <si>
    <t>0x54</t>
    <phoneticPr fontId="1" type="noConversion"/>
  </si>
  <si>
    <t>SET_TEMP_LUT_TC6</t>
  </si>
  <si>
    <t>0x55</t>
    <phoneticPr fontId="1" type="noConversion"/>
  </si>
  <si>
    <t>SET_TEMP_LUT_TC7</t>
  </si>
  <si>
    <t>0x56</t>
    <phoneticPr fontId="1" type="noConversion"/>
  </si>
  <si>
    <t>SET_TEMP_LUT_TC8</t>
  </si>
  <si>
    <t>0x57</t>
    <phoneticPr fontId="1" type="noConversion"/>
  </si>
  <si>
    <t>SET_TEMP_LUT_TC9</t>
  </si>
  <si>
    <t>0x58</t>
    <phoneticPr fontId="1" type="noConversion"/>
  </si>
  <si>
    <t>SET_TEMP_LUT_TC10</t>
  </si>
  <si>
    <t>0x59</t>
    <phoneticPr fontId="1" type="noConversion"/>
  </si>
  <si>
    <t>SET_TRIM_CONTROL</t>
    <phoneticPr fontId="1" type="noConversion"/>
  </si>
  <si>
    <t>digLED_Set_Config
OTP BURN을 위한 설정</t>
    <phoneticPr fontId="1" type="noConversion"/>
  </si>
  <si>
    <t>0xC0</t>
    <phoneticPr fontId="1" type="noConversion"/>
  </si>
  <si>
    <t>TM/OTP
command</t>
    <phoneticPr fontId="1" type="noConversion"/>
  </si>
  <si>
    <t>SET_OTP_CONTROL1</t>
    <phoneticPr fontId="1" type="noConversion"/>
  </si>
  <si>
    <t>0xC1</t>
    <phoneticPr fontId="1" type="noConversion"/>
  </si>
  <si>
    <t>SET_OTP_CONTROL2</t>
    <phoneticPr fontId="1" type="noConversion"/>
  </si>
  <si>
    <t>0xC2</t>
    <phoneticPr fontId="1" type="noConversion"/>
  </si>
  <si>
    <t>SET_OTP_CONTROL3</t>
    <phoneticPr fontId="1" type="noConversion"/>
  </si>
  <si>
    <t>0xC3</t>
  </si>
  <si>
    <t>SET_OTP_CONTROL4</t>
    <phoneticPr fontId="1" type="noConversion"/>
  </si>
  <si>
    <t>0xC4</t>
  </si>
  <si>
    <t>SET_OTP_MIRROR1</t>
    <phoneticPr fontId="1" type="noConversion"/>
  </si>
  <si>
    <t>0xC5</t>
    <phoneticPr fontId="1" type="noConversion"/>
  </si>
  <si>
    <t>SET_OTP_MIRROR2</t>
    <phoneticPr fontId="1" type="noConversion"/>
  </si>
  <si>
    <t>0xC6</t>
    <phoneticPr fontId="1" type="noConversion"/>
  </si>
  <si>
    <t>SET_OTP_MIRROR3</t>
  </si>
  <si>
    <t>digLED_Set_Temp_Offset
digLED_Set_Adc_Dac</t>
    <phoneticPr fontId="1" type="noConversion"/>
  </si>
  <si>
    <t>0xC7</t>
    <phoneticPr fontId="1" type="noConversion"/>
  </si>
  <si>
    <t>SET_OTP_MIRROR4</t>
  </si>
  <si>
    <t>digLED_Set_Cur_Green
digLED_Set_Cur_Blue
digLED_Set_Bias</t>
    <phoneticPr fontId="1" type="noConversion"/>
  </si>
  <si>
    <t>0xC8</t>
    <phoneticPr fontId="1" type="noConversion"/>
  </si>
  <si>
    <t>SET_OTP_MIRROR5</t>
  </si>
  <si>
    <t>0xC9</t>
    <phoneticPr fontId="1" type="noConversion"/>
  </si>
  <si>
    <t>SET_OTP_MIRROR6</t>
  </si>
  <si>
    <t>0xCA</t>
    <phoneticPr fontId="1" type="noConversion"/>
  </si>
  <si>
    <t>SET_OTP_MIRROR7</t>
  </si>
  <si>
    <t>0xCB</t>
    <phoneticPr fontId="1" type="noConversion"/>
  </si>
  <si>
    <t>SET_OTP_MIRROR8</t>
  </si>
  <si>
    <t>digLED_Set_PWM_Red</t>
    <phoneticPr fontId="1" type="noConversion"/>
  </si>
  <si>
    <t>0xCC</t>
    <phoneticPr fontId="1" type="noConversion"/>
  </si>
  <si>
    <t>SET_OTP_MIRROR9</t>
  </si>
  <si>
    <t>digLED_Set_PWM_Green</t>
  </si>
  <si>
    <t>0xCD</t>
    <phoneticPr fontId="1" type="noConversion"/>
  </si>
  <si>
    <t>SET_OTP_MIRROR10</t>
  </si>
  <si>
    <t>digLED_Set_PWM_Blue</t>
  </si>
  <si>
    <t>0xCE</t>
    <phoneticPr fontId="1" type="noConversion"/>
  </si>
  <si>
    <t>SET_OTP_MIRROR11</t>
  </si>
  <si>
    <t>digLED_Set_TC_Base</t>
  </si>
  <si>
    <t>0xCF</t>
    <phoneticPr fontId="1" type="noConversion"/>
  </si>
  <si>
    <t>SET_OTP_MIRROR12</t>
  </si>
  <si>
    <t>digLED_Set_TC_Offset</t>
    <phoneticPr fontId="1" type="noConversion"/>
  </si>
  <si>
    <t>0xD0</t>
    <phoneticPr fontId="1" type="noConversion"/>
  </si>
  <si>
    <t>SET_OTP_MIRROR13</t>
  </si>
  <si>
    <t>digLED_Set_Trg_Adc_Cal</t>
    <phoneticPr fontId="1" type="noConversion"/>
  </si>
  <si>
    <t>0xD1</t>
    <phoneticPr fontId="1" type="noConversion"/>
  </si>
  <si>
    <t>SET_OTP_MIRROR14</t>
  </si>
  <si>
    <t>0xD2</t>
    <phoneticPr fontId="1" type="noConversion"/>
  </si>
  <si>
    <t>Auto-addressing &amp; State 전환 @loopback
(UNINIT -&gt; SLEEP)</t>
    <phoneticPr fontId="1" type="noConversion"/>
  </si>
  <si>
    <t>INITLOOP</t>
    <phoneticPr fontId="1" type="noConversion"/>
  </si>
  <si>
    <t>R/G/B 14 or 15bit PWM 설정</t>
    <phoneticPr fontId="1" type="noConversion"/>
  </si>
  <si>
    <t>SETPWM</t>
    <phoneticPr fontId="1" type="noConversion"/>
  </si>
  <si>
    <t>저강도시 resolution 확장 미세조정</t>
    <phoneticPr fontId="1" type="noConversion"/>
  </si>
  <si>
    <t>digLED_Set_Dim</t>
    <phoneticPr fontId="1" type="noConversion"/>
  </si>
  <si>
    <t>digLED_Set_RGB + digLED_Set_Dim 동시 전송</t>
    <phoneticPr fontId="1" type="noConversion"/>
  </si>
  <si>
    <t>digLED_Send_Cmd_Block</t>
    <phoneticPr fontId="1" type="noConversion"/>
  </si>
  <si>
    <t>Communication timeout 설정</t>
    <phoneticPr fontId="1" type="noConversion"/>
  </si>
  <si>
    <t>digLED_Set_Timeout</t>
    <phoneticPr fontId="1" type="noConversion"/>
  </si>
  <si>
    <t>ADC 측정용 - 5V_PRG, dig1.5V, RGB pin, BGR</t>
    <phoneticPr fontId="1" type="noConversion"/>
  </si>
  <si>
    <t>digLED_Test</t>
    <phoneticPr fontId="1" type="noConversion"/>
  </si>
  <si>
    <t>RD Command</t>
    <phoneticPr fontId="1" type="noConversion"/>
  </si>
  <si>
    <t>SIO1&amp;2 COM 상태</t>
    <phoneticPr fontId="1" type="noConversion"/>
  </si>
  <si>
    <t>READCOMST</t>
    <phoneticPr fontId="1" type="noConversion"/>
  </si>
  <si>
    <t>READ_STATUS1</t>
    <phoneticPr fontId="1" type="noConversion"/>
  </si>
  <si>
    <t>0x01</t>
    <phoneticPr fontId="1" type="noConversion"/>
  </si>
  <si>
    <t>FSM state, OTPCRC, COM, fault flag</t>
    <phoneticPr fontId="1" type="noConversion"/>
  </si>
  <si>
    <t>READSTATUS</t>
    <phoneticPr fontId="1" type="noConversion"/>
  </si>
  <si>
    <t>RO/GO/BO/RS/GS/BS flag</t>
    <phoneticPr fontId="1" type="noConversion"/>
  </si>
  <si>
    <t>READLEDST</t>
    <phoneticPr fontId="1" type="noConversion"/>
  </si>
  <si>
    <t>READ_STATUS2</t>
    <phoneticPr fontId="1" type="noConversion"/>
  </si>
  <si>
    <t>0x02</t>
    <phoneticPr fontId="1" type="noConversion"/>
  </si>
  <si>
    <t>온도 정보 응답</t>
    <phoneticPr fontId="1" type="noConversion"/>
  </si>
  <si>
    <t>READTEMP</t>
    <phoneticPr fontId="1" type="noConversion"/>
  </si>
  <si>
    <t>digLED_Read_Temp</t>
    <phoneticPr fontId="1" type="noConversion"/>
  </si>
  <si>
    <t>READ_TEMP</t>
    <phoneticPr fontId="1" type="noConversion"/>
  </si>
  <si>
    <t>0x03</t>
    <phoneticPr fontId="1" type="noConversion"/>
  </si>
  <si>
    <t>READSTATUS2+READTEMP</t>
    <phoneticPr fontId="1" type="noConversion"/>
  </si>
  <si>
    <t>READTEMPST</t>
    <phoneticPr fontId="1" type="noConversion"/>
  </si>
  <si>
    <t>READ_TEMPST</t>
    <phoneticPr fontId="1" type="noConversion"/>
  </si>
  <si>
    <t>0x04</t>
    <phoneticPr fontId="1" type="noConversion"/>
  </si>
  <si>
    <t xml:space="preserve">터치 인터페이스 감지용 </t>
    <phoneticPr fontId="1" type="noConversion"/>
  </si>
  <si>
    <t>READ_VEXT_TM</t>
    <phoneticPr fontId="1" type="noConversion"/>
  </si>
  <si>
    <t>0x05</t>
    <phoneticPr fontId="1" type="noConversion"/>
  </si>
  <si>
    <t>read SET_SETUP1</t>
    <phoneticPr fontId="1" type="noConversion"/>
  </si>
  <si>
    <t>READSETUP</t>
    <phoneticPr fontId="1" type="noConversion"/>
  </si>
  <si>
    <t>READ_SETUP1</t>
    <phoneticPr fontId="1" type="noConversion"/>
  </si>
  <si>
    <t>0x06</t>
    <phoneticPr fontId="1" type="noConversion"/>
  </si>
  <si>
    <t>read SET_SETUP2</t>
    <phoneticPr fontId="1" type="noConversion"/>
  </si>
  <si>
    <t>READ_SETUP2</t>
    <phoneticPr fontId="1" type="noConversion"/>
  </si>
  <si>
    <t>0x07</t>
    <phoneticPr fontId="1" type="noConversion"/>
  </si>
  <si>
    <t>read SET_MCAST</t>
    <phoneticPr fontId="1" type="noConversion"/>
  </si>
  <si>
    <t>READ_MCAST</t>
    <phoneticPr fontId="1" type="noConversion"/>
  </si>
  <si>
    <t>0x08</t>
    <phoneticPr fontId="1" type="noConversion"/>
  </si>
  <si>
    <t>read SET_RGB</t>
    <phoneticPr fontId="1" type="noConversion"/>
  </si>
  <si>
    <t>READ_RGB</t>
    <phoneticPr fontId="1" type="noConversion"/>
  </si>
  <si>
    <t>0x09</t>
    <phoneticPr fontId="1" type="noConversion"/>
  </si>
  <si>
    <t>read SET_TEMPTH</t>
    <phoneticPr fontId="1" type="noConversion"/>
  </si>
  <si>
    <t>READOTTH</t>
    <phoneticPr fontId="1" type="noConversion"/>
  </si>
  <si>
    <t>READ_TEMPTH</t>
    <phoneticPr fontId="1" type="noConversion"/>
  </si>
  <si>
    <t>0x0A</t>
    <phoneticPr fontId="1" type="noConversion"/>
  </si>
  <si>
    <t>read SET_TEMPHYS</t>
    <phoneticPr fontId="1" type="noConversion"/>
  </si>
  <si>
    <t>READ_TEMPHYS</t>
    <phoneticPr fontId="1" type="noConversion"/>
  </si>
  <si>
    <t>0x0B</t>
    <phoneticPr fontId="1" type="noConversion"/>
  </si>
  <si>
    <t>12bit Red PWM value read (calculated data)</t>
    <phoneticPr fontId="1" type="noConversion"/>
  </si>
  <si>
    <t>digLED_Read_PWM_Red</t>
    <phoneticPr fontId="1" type="noConversion"/>
  </si>
  <si>
    <t>READ_PWM_RED_VAL</t>
    <phoneticPr fontId="1" type="noConversion"/>
  </si>
  <si>
    <t>0x0C</t>
    <phoneticPr fontId="1" type="noConversion"/>
  </si>
  <si>
    <t>12bit Green PWM value read (calculated data)</t>
    <phoneticPr fontId="1" type="noConversion"/>
  </si>
  <si>
    <t>digLED_Read_PWM_Green</t>
    <phoneticPr fontId="1" type="noConversion"/>
  </si>
  <si>
    <t>READ_PWM_GREEN_VAL</t>
    <phoneticPr fontId="1" type="noConversion"/>
  </si>
  <si>
    <t>0x0D</t>
    <phoneticPr fontId="1" type="noConversion"/>
  </si>
  <si>
    <t>12bit Blue PWM value read (calculated data)</t>
    <phoneticPr fontId="1" type="noConversion"/>
  </si>
  <si>
    <t>digLED_Read_PWM_Blue</t>
    <phoneticPr fontId="1" type="noConversion"/>
  </si>
  <si>
    <t>READ_PWM_BLUE_VAL</t>
    <phoneticPr fontId="1" type="noConversion"/>
  </si>
  <si>
    <t>0x0E</t>
    <phoneticPr fontId="1" type="noConversion"/>
  </si>
  <si>
    <t>read SET_TEMP_LUT_TC1</t>
    <phoneticPr fontId="1" type="noConversion"/>
  </si>
  <si>
    <t>READ_TEMP_LUT_TC1</t>
    <phoneticPr fontId="1" type="noConversion"/>
  </si>
  <si>
    <t>0x10</t>
    <phoneticPr fontId="1" type="noConversion"/>
  </si>
  <si>
    <t>read SET_TEMP_LUT_TC2</t>
  </si>
  <si>
    <t>READ_TEMP_LUT_TC2</t>
  </si>
  <si>
    <t>0x11</t>
    <phoneticPr fontId="1" type="noConversion"/>
  </si>
  <si>
    <t>read SET_TEMP_LUT_TC3</t>
  </si>
  <si>
    <t>READ_TEMP_LUT_TC3</t>
  </si>
  <si>
    <t>0x12</t>
    <phoneticPr fontId="1" type="noConversion"/>
  </si>
  <si>
    <t>read SET_TEMP_LUT_TC4</t>
  </si>
  <si>
    <t>READ_TEMP_LUT_TC4</t>
  </si>
  <si>
    <t>0x13</t>
    <phoneticPr fontId="1" type="noConversion"/>
  </si>
  <si>
    <t>read SET_TEMP_LUT_TC5</t>
  </si>
  <si>
    <t>READ_TEMP_LUT_TC5</t>
  </si>
  <si>
    <t>0x14</t>
    <phoneticPr fontId="1" type="noConversion"/>
  </si>
  <si>
    <t>read SET_TEMP_LUT_TC6</t>
  </si>
  <si>
    <t>READ_TEMP_LUT_TC6</t>
  </si>
  <si>
    <t>0x15</t>
  </si>
  <si>
    <t>read SET_TEMP_LUT_TC7</t>
  </si>
  <si>
    <t>READ_TEMP_LUT_TC7</t>
  </si>
  <si>
    <t>0x16</t>
  </si>
  <si>
    <t>read SET_TEMP_LUT_TC8</t>
  </si>
  <si>
    <t>READ_TEMP_LUT_TC8</t>
  </si>
  <si>
    <t>0x17</t>
  </si>
  <si>
    <t>read SET_TEMP_LUT_TC9</t>
  </si>
  <si>
    <t>READ_TEMP_LUT_TC9</t>
  </si>
  <si>
    <t>0x18</t>
  </si>
  <si>
    <t>read SET_TEMP_LUT_TC10</t>
  </si>
  <si>
    <t>READ_TEMP_LUT_TC10</t>
  </si>
  <si>
    <t>0x19</t>
  </si>
  <si>
    <t>read SET_TRIM_CONTROL</t>
    <phoneticPr fontId="1" type="noConversion"/>
  </si>
  <si>
    <t>READOTP</t>
    <phoneticPr fontId="1" type="noConversion"/>
  </si>
  <si>
    <t>digLED_Read_Param1
(read digLED_Set_Config)
digLED_Read_Param12
(OTP burned OK)</t>
    <phoneticPr fontId="1" type="noConversion"/>
  </si>
  <si>
    <t>READ_TRIM_CONTROL</t>
    <phoneticPr fontId="1" type="noConversion"/>
  </si>
  <si>
    <t>0x80</t>
    <phoneticPr fontId="1" type="noConversion"/>
  </si>
  <si>
    <t>read SET_OTP_CONTROL1</t>
    <phoneticPr fontId="1" type="noConversion"/>
  </si>
  <si>
    <t>READ_OTP_CONTROL1</t>
    <phoneticPr fontId="1" type="noConversion"/>
  </si>
  <si>
    <t>0x81</t>
    <phoneticPr fontId="1" type="noConversion"/>
  </si>
  <si>
    <t>read SET_OTP_CONTROL2</t>
    <phoneticPr fontId="1" type="noConversion"/>
  </si>
  <si>
    <t>READ_OTP_CONTROL2</t>
    <phoneticPr fontId="1" type="noConversion"/>
  </si>
  <si>
    <t>0x82</t>
    <phoneticPr fontId="1" type="noConversion"/>
  </si>
  <si>
    <t>read SET_OTP_CONTROL3</t>
    <phoneticPr fontId="1" type="noConversion"/>
  </si>
  <si>
    <t>READ_OTP_CONTROL3</t>
    <phoneticPr fontId="1" type="noConversion"/>
  </si>
  <si>
    <t>0x83</t>
    <phoneticPr fontId="1" type="noConversion"/>
  </si>
  <si>
    <t>read SET_OTP_CONTROL4</t>
    <phoneticPr fontId="1" type="noConversion"/>
  </si>
  <si>
    <t>READ_OTP_CONTROL4</t>
    <phoneticPr fontId="1" type="noConversion"/>
  </si>
  <si>
    <t>0x84</t>
    <phoneticPr fontId="1" type="noConversion"/>
  </si>
  <si>
    <t>read SET_OTP_MIRROR1</t>
    <phoneticPr fontId="1" type="noConversion"/>
  </si>
  <si>
    <t>READ_OTP_MIRROR1</t>
    <phoneticPr fontId="1" type="noConversion"/>
  </si>
  <si>
    <t>0x85</t>
    <phoneticPr fontId="1" type="noConversion"/>
  </si>
  <si>
    <t>read SET_OTP_MIRROR2</t>
    <phoneticPr fontId="1" type="noConversion"/>
  </si>
  <si>
    <t>READ_OTP_MIRROR2</t>
    <phoneticPr fontId="1" type="noConversion"/>
  </si>
  <si>
    <t>0x86</t>
    <phoneticPr fontId="1" type="noConversion"/>
  </si>
  <si>
    <t>read SET_OTP_MIRROR3</t>
    <phoneticPr fontId="1" type="noConversion"/>
  </si>
  <si>
    <t>digLED_Read_Param7
digLED_Read_Param8</t>
    <phoneticPr fontId="1" type="noConversion"/>
  </si>
  <si>
    <t>READ_OTP_MIRROR3</t>
    <phoneticPr fontId="1" type="noConversion"/>
  </si>
  <si>
    <t>0x87</t>
    <phoneticPr fontId="1" type="noConversion"/>
  </si>
  <si>
    <t>read SET_OTP_MIRROR4</t>
    <phoneticPr fontId="1" type="noConversion"/>
  </si>
  <si>
    <t>digLED_Read_Param5
digLED_Read_Param6
digLED_Read_Param9</t>
    <phoneticPr fontId="1" type="noConversion"/>
  </si>
  <si>
    <t>READ_OTP_MIRROR4</t>
  </si>
  <si>
    <t>0x88</t>
    <phoneticPr fontId="1" type="noConversion"/>
  </si>
  <si>
    <t>read SET_OTP_MIRROR5</t>
    <phoneticPr fontId="1" type="noConversion"/>
  </si>
  <si>
    <t>READ_OTP_MIRROR5</t>
  </si>
  <si>
    <t>0x89</t>
    <phoneticPr fontId="1" type="noConversion"/>
  </si>
  <si>
    <t>read SET_OTP_MIRROR6</t>
  </si>
  <si>
    <t>READ_OTP_MIRROR6</t>
  </si>
  <si>
    <t>0x8A</t>
    <phoneticPr fontId="1" type="noConversion"/>
  </si>
  <si>
    <t>read SET_OTP_MIRROR7</t>
  </si>
  <si>
    <t>READ_OTP_MIRROR7</t>
  </si>
  <si>
    <t>0x8B</t>
    <phoneticPr fontId="1" type="noConversion"/>
  </si>
  <si>
    <t>read SET_OTP_MIRROR8</t>
  </si>
  <si>
    <t>digLED_Read_Param2</t>
    <phoneticPr fontId="1" type="noConversion"/>
  </si>
  <si>
    <t>READ_OTP_MIRROR8</t>
  </si>
  <si>
    <t>0x8C</t>
    <phoneticPr fontId="1" type="noConversion"/>
  </si>
  <si>
    <t>read SET_OTP_MIRROR9</t>
  </si>
  <si>
    <t>digLED_Read_Param3</t>
    <phoneticPr fontId="1" type="noConversion"/>
  </si>
  <si>
    <t>READ_OTP_MIRROR9</t>
  </si>
  <si>
    <t>0x8D</t>
    <phoneticPr fontId="1" type="noConversion"/>
  </si>
  <si>
    <t>read SET_OTP_MIRROR10</t>
  </si>
  <si>
    <t>digLED_Read_Param4</t>
  </si>
  <si>
    <t>READ_OTP_MIRROR10</t>
  </si>
  <si>
    <t>0x8E</t>
    <phoneticPr fontId="1" type="noConversion"/>
  </si>
  <si>
    <t>read SET_OTP_MIRROR11</t>
  </si>
  <si>
    <t>digLED_Read_Param10</t>
    <phoneticPr fontId="1" type="noConversion"/>
  </si>
  <si>
    <t>READ_OTP_MIRROR11</t>
  </si>
  <si>
    <t>0x8F</t>
    <phoneticPr fontId="1" type="noConversion"/>
  </si>
  <si>
    <t>read SET_OTP_MIRROR12</t>
  </si>
  <si>
    <t>digLED_Read_Param11</t>
    <phoneticPr fontId="1" type="noConversion"/>
  </si>
  <si>
    <t>READ_OTP_MIRROR12</t>
  </si>
  <si>
    <t>0x90</t>
    <phoneticPr fontId="1" type="noConversion"/>
  </si>
  <si>
    <t>read SET_OTP_MIRROR13</t>
  </si>
  <si>
    <t>digLED_Read_Param8</t>
    <phoneticPr fontId="1" type="noConversion"/>
  </si>
  <si>
    <t>READ_OTP_MIRROR13</t>
  </si>
  <si>
    <t>0x91</t>
    <phoneticPr fontId="1" type="noConversion"/>
  </si>
  <si>
    <t>read SET_OTP_MIRROR14</t>
    <phoneticPr fontId="1" type="noConversion"/>
  </si>
  <si>
    <t>READ_OTP_MIRROR14</t>
    <phoneticPr fontId="1" type="noConversion"/>
  </si>
  <si>
    <t>0x92</t>
    <phoneticPr fontId="1" type="noConversion"/>
  </si>
  <si>
    <t>통신 관련 error flags</t>
    <phoneticPr fontId="1" type="noConversion"/>
  </si>
  <si>
    <t>digLED_Read_Status</t>
    <phoneticPr fontId="1" type="noConversion"/>
  </si>
  <si>
    <t>read digLED_Test</t>
  </si>
  <si>
    <t>digLED_Read_Diagnostic</t>
  </si>
  <si>
    <t>Downstream
frame format</t>
    <phoneticPr fontId="1" type="noConversion"/>
  </si>
  <si>
    <t>PREAMBLE</t>
    <phoneticPr fontId="1" type="noConversion"/>
  </si>
  <si>
    <t>DEV_ADDR</t>
    <phoneticPr fontId="1" type="noConversion"/>
  </si>
  <si>
    <t>COMMAND</t>
    <phoneticPr fontId="1" type="noConversion"/>
  </si>
  <si>
    <t>DATA</t>
    <phoneticPr fontId="1" type="noConversion"/>
  </si>
  <si>
    <t>CRC</t>
    <phoneticPr fontId="1" type="noConversion"/>
  </si>
  <si>
    <t>device address[11:0]</t>
    <phoneticPr fontId="1" type="noConversion"/>
  </si>
  <si>
    <t>TM</t>
    <phoneticPr fontId="1" type="noConversion"/>
  </si>
  <si>
    <t>RW</t>
    <phoneticPr fontId="1" type="noConversion"/>
  </si>
  <si>
    <t>SR</t>
    <phoneticPr fontId="1" type="noConversion"/>
  </si>
  <si>
    <t>CODE[4:0]</t>
    <phoneticPr fontId="1" type="noConversion"/>
  </si>
  <si>
    <t>downstream data 0 or 12 or 24 bit</t>
    <phoneticPr fontId="1" type="noConversion"/>
  </si>
  <si>
    <t>crc [7:0]</t>
    <phoneticPr fontId="1" type="noConversion"/>
  </si>
  <si>
    <t>dircect 
access</t>
    <phoneticPr fontId="1" type="noConversion"/>
  </si>
  <si>
    <t>write
(0x00~0x05)</t>
    <phoneticPr fontId="1" type="noConversion"/>
  </si>
  <si>
    <t>write+SR
(0x02~0x05)</t>
    <phoneticPr fontId="1" type="noConversion"/>
  </si>
  <si>
    <t>write
(0x06~0x07)
(0x0A~0x0B)
(0x10~0x19)</t>
    <phoneticPr fontId="1" type="noConversion"/>
  </si>
  <si>
    <t>data[11:0]</t>
    <phoneticPr fontId="1" type="noConversion"/>
  </si>
  <si>
    <t>write+SR
(0x06~0x07)
(0x0A~0x0B)</t>
    <phoneticPr fontId="1" type="noConversion"/>
  </si>
  <si>
    <t>write
(0x08~0x09)</t>
    <phoneticPr fontId="1" type="noConversion"/>
  </si>
  <si>
    <t>data[23:0]</t>
    <phoneticPr fontId="1" type="noConversion"/>
  </si>
  <si>
    <t>write+SR
(0x08~0x09)</t>
    <phoneticPr fontId="1" type="noConversion"/>
  </si>
  <si>
    <t>read
(0x01~0x0E)
(0x10~0x19)</t>
    <phoneticPr fontId="1" type="noConversion"/>
  </si>
  <si>
    <t>reg_addr[5:0]</t>
    <phoneticPr fontId="1" type="noConversion"/>
  </si>
  <si>
    <t>downstream data 0 or 12 bit</t>
    <phoneticPr fontId="1" type="noConversion"/>
  </si>
  <si>
    <t>register address 
based access</t>
    <phoneticPr fontId="1" type="noConversion"/>
  </si>
  <si>
    <t>write
(0x00~0x12)</t>
    <phoneticPr fontId="1" type="noConversion"/>
  </si>
  <si>
    <t>read
(0x00~0x12)</t>
    <phoneticPr fontId="1" type="noConversion"/>
  </si>
  <si>
    <t>Upstream
frame format</t>
    <phoneticPr fontId="1" type="noConversion"/>
  </si>
  <si>
    <t>upstream data 12 or 24 bit</t>
    <phoneticPr fontId="1" type="noConversion"/>
  </si>
  <si>
    <t>write</t>
    <phoneticPr fontId="1" type="noConversion"/>
  </si>
  <si>
    <t>direct 
access</t>
    <phoneticPr fontId="1" type="noConversion"/>
  </si>
  <si>
    <t>write+SR
(0x02~0x0B)</t>
    <phoneticPr fontId="1" type="noConversion"/>
  </si>
  <si>
    <t>TEMP data[11:0]</t>
    <phoneticPr fontId="1" type="noConversion"/>
  </si>
  <si>
    <t>STATUS2 data[11:0]</t>
    <phoneticPr fontId="1" type="noConversion"/>
  </si>
  <si>
    <t>read
(0x01~0x03)
(0x05~0x07)
(0x0A~0x0E)
(0x10~0x19)</t>
    <phoneticPr fontId="1" type="noConversion"/>
  </si>
  <si>
    <t>read
(0x04, 0x08, 0x09)</t>
    <phoneticPr fontId="1" type="noConversion"/>
  </si>
  <si>
    <t>upstream data 12 bit</t>
    <phoneticPr fontId="1" type="noConversion"/>
  </si>
  <si>
    <t>write
(0x00~0x26)</t>
    <phoneticPr fontId="1" type="noConversion"/>
  </si>
  <si>
    <t>ADDR</t>
    <phoneticPr fontId="2" type="noConversion"/>
  </si>
  <si>
    <t>Register</t>
    <phoneticPr fontId="2" type="noConversion"/>
  </si>
  <si>
    <t>Reset
Type</t>
  </si>
  <si>
    <t>Read
Write</t>
  </si>
  <si>
    <t>D11</t>
    <phoneticPr fontId="2" type="noConversion"/>
  </si>
  <si>
    <t>D10</t>
    <phoneticPr fontId="2" type="noConversion"/>
  </si>
  <si>
    <t>D9</t>
    <phoneticPr fontId="2" type="noConversion"/>
  </si>
  <si>
    <t>D8</t>
    <phoneticPr fontId="2" type="noConversion"/>
  </si>
  <si>
    <t>D7</t>
    <phoneticPr fontId="2" type="noConversion"/>
  </si>
  <si>
    <t>D6</t>
    <phoneticPr fontId="2" type="noConversion"/>
  </si>
  <si>
    <t>D5</t>
  </si>
  <si>
    <t>D4</t>
  </si>
  <si>
    <t>D3</t>
  </si>
  <si>
    <t>D2</t>
  </si>
  <si>
    <t>D1</t>
  </si>
  <si>
    <t>D0</t>
  </si>
  <si>
    <t>DEFAULT
bin</t>
  </si>
  <si>
    <t>DEFAULT</t>
  </si>
  <si>
    <t>STATUS1</t>
    <phoneticPr fontId="2" type="noConversion"/>
  </si>
  <si>
    <t>POR, RESET</t>
    <phoneticPr fontId="2" type="noConversion"/>
  </si>
  <si>
    <t>RO</t>
    <phoneticPr fontId="2" type="noConversion"/>
  </si>
  <si>
    <t>RSVD</t>
  </si>
  <si>
    <t>IC_STATE[2:0]</t>
    <phoneticPr fontId="1" type="noConversion"/>
  </si>
  <si>
    <t>SIO2[1:0]</t>
    <phoneticPr fontId="1" type="noConversion"/>
  </si>
  <si>
    <t>SIO1[1:0]</t>
    <phoneticPr fontId="1" type="noConversion"/>
  </si>
  <si>
    <t>0000_0000_0000</t>
    <phoneticPr fontId="2" type="noConversion"/>
  </si>
  <si>
    <t>STATUS2</t>
    <phoneticPr fontId="2" type="noConversion"/>
  </si>
  <si>
    <t>RC</t>
    <phoneticPr fontId="2" type="noConversion"/>
  </si>
  <si>
    <t>T_OUT</t>
    <phoneticPr fontId="1" type="noConversion"/>
  </si>
  <si>
    <t>OPEN_R</t>
    <phoneticPr fontId="1" type="noConversion"/>
  </si>
  <si>
    <t>OPEN_G</t>
    <phoneticPr fontId="1" type="noConversion"/>
  </si>
  <si>
    <t>OPEN_B</t>
    <phoneticPr fontId="1" type="noConversion"/>
  </si>
  <si>
    <t>SHORT_R</t>
    <phoneticPr fontId="1" type="noConversion"/>
  </si>
  <si>
    <t>SHORT_G</t>
    <phoneticPr fontId="1" type="noConversion"/>
  </si>
  <si>
    <t>SHORT_B</t>
    <phoneticPr fontId="1" type="noConversion"/>
  </si>
  <si>
    <t>OT_FLT</t>
    <phoneticPr fontId="1" type="noConversion"/>
  </si>
  <si>
    <t>UV_FLT</t>
    <phoneticPr fontId="1" type="noConversion"/>
  </si>
  <si>
    <t>CRC_FLT</t>
    <phoneticPr fontId="1" type="noConversion"/>
  </si>
  <si>
    <t>COM_FLT</t>
    <phoneticPr fontId="1" type="noConversion"/>
  </si>
  <si>
    <t>0x03</t>
  </si>
  <si>
    <t>TEMP</t>
    <phoneticPr fontId="2" type="noConversion"/>
  </si>
  <si>
    <t>TEMPERATURE[9:0]</t>
    <phoneticPr fontId="1" type="noConversion"/>
  </si>
  <si>
    <t>0x05</t>
    <phoneticPr fontId="2" type="noConversion"/>
  </si>
  <si>
    <t>VEXT_TM</t>
    <phoneticPr fontId="2" type="noConversion"/>
  </si>
  <si>
    <t>VEXT_TM[9:0]</t>
    <phoneticPr fontId="1" type="noConversion"/>
  </si>
  <si>
    <t>0x06</t>
    <phoneticPr fontId="2" type="noConversion"/>
  </si>
  <si>
    <t>SETUP1</t>
    <phoneticPr fontId="2" type="noConversion"/>
  </si>
  <si>
    <t>RW</t>
    <phoneticPr fontId="2" type="noConversion"/>
  </si>
  <si>
    <t>TC_E</t>
    <phoneticPr fontId="1" type="noConversion"/>
  </si>
  <si>
    <t>OS_FLT_E</t>
    <phoneticPr fontId="1" type="noConversion"/>
  </si>
  <si>
    <t>OT_FLT_E</t>
    <phoneticPr fontId="1" type="noConversion"/>
  </si>
  <si>
    <t>UV_FLT_E</t>
    <phoneticPr fontId="1" type="noConversion"/>
  </si>
  <si>
    <t>COM_FLT_E</t>
    <phoneticPr fontId="1" type="noConversion"/>
  </si>
  <si>
    <t>CRC_E</t>
    <phoneticPr fontId="1" type="noConversion"/>
  </si>
  <si>
    <t>CLK_INV_E</t>
    <phoneticPr fontId="1" type="noConversion"/>
  </si>
  <si>
    <t>LG_E</t>
    <phoneticPr fontId="1" type="noConversion"/>
  </si>
  <si>
    <t>F_PWM_DIV[3:0]</t>
    <phoneticPr fontId="1" type="noConversion"/>
  </si>
  <si>
    <t>0x07</t>
    <phoneticPr fontId="2" type="noConversion"/>
  </si>
  <si>
    <t>SETUP2</t>
    <phoneticPr fontId="2" type="noConversion"/>
  </si>
  <si>
    <t>VEXT_MON_E</t>
    <phoneticPr fontId="1" type="noConversion"/>
  </si>
  <si>
    <t>UV_LVL[1:0]</t>
    <phoneticPr fontId="1" type="noConversion"/>
  </si>
  <si>
    <t>SH_LVL[1:0]</t>
    <phoneticPr fontId="1" type="noConversion"/>
  </si>
  <si>
    <t>0x0A</t>
    <phoneticPr fontId="2" type="noConversion"/>
  </si>
  <si>
    <t>TEMPTH</t>
    <phoneticPr fontId="2" type="noConversion"/>
  </si>
  <si>
    <t>TEMP_THRESHOLD[9:0]</t>
    <phoneticPr fontId="1" type="noConversion"/>
  </si>
  <si>
    <t>0x0B</t>
    <phoneticPr fontId="2" type="noConversion"/>
  </si>
  <si>
    <t>TEMPHYS</t>
    <phoneticPr fontId="2" type="noConversion"/>
  </si>
  <si>
    <t>TEMP_HYSTERISIS[9:0]</t>
    <phoneticPr fontId="1" type="noConversion"/>
  </si>
  <si>
    <t>CAL_PWM_RED</t>
    <phoneticPr fontId="2" type="noConversion"/>
  </si>
  <si>
    <t>PWM_RED_VAL[11:0]</t>
    <phoneticPr fontId="1" type="noConversion"/>
  </si>
  <si>
    <t>CAL_PWM_GREEN</t>
    <phoneticPr fontId="2" type="noConversion"/>
  </si>
  <si>
    <t>PWM_GREEN_VAL[11:0]</t>
    <phoneticPr fontId="1" type="noConversion"/>
  </si>
  <si>
    <t>CAL_PWM_BLUE</t>
    <phoneticPr fontId="2" type="noConversion"/>
  </si>
  <si>
    <t>PWM_BLUE_VAL[11:0]</t>
    <phoneticPr fontId="1" type="noConversion"/>
  </si>
  <si>
    <t>0x10</t>
    <phoneticPr fontId="2" type="noConversion"/>
  </si>
  <si>
    <t>TEMP_LUT_TC1</t>
    <phoneticPr fontId="2" type="noConversion"/>
  </si>
  <si>
    <t>0000_0000_0000</t>
  </si>
  <si>
    <t>0x11</t>
    <phoneticPr fontId="2" type="noConversion"/>
  </si>
  <si>
    <t>TEMP_LUT_TC2</t>
  </si>
  <si>
    <t>0x12</t>
    <phoneticPr fontId="2" type="noConversion"/>
  </si>
  <si>
    <t>TEMP_LUT_TC3</t>
  </si>
  <si>
    <t>0x13</t>
    <phoneticPr fontId="2" type="noConversion"/>
  </si>
  <si>
    <t>TEMP_LUT_TC4</t>
  </si>
  <si>
    <t>0x14</t>
    <phoneticPr fontId="2" type="noConversion"/>
  </si>
  <si>
    <t>TEMP_LUT_TC5</t>
  </si>
  <si>
    <t>0x15</t>
    <phoneticPr fontId="2" type="noConversion"/>
  </si>
  <si>
    <t>TEMP_LUT_TC6</t>
  </si>
  <si>
    <t>0x16</t>
    <phoneticPr fontId="2" type="noConversion"/>
  </si>
  <si>
    <t>TEMP_LUT_TC7</t>
  </si>
  <si>
    <t>0x17</t>
    <phoneticPr fontId="2" type="noConversion"/>
  </si>
  <si>
    <t>TEMP_LUT_TC8</t>
  </si>
  <si>
    <t>0x18</t>
    <phoneticPr fontId="2" type="noConversion"/>
  </si>
  <si>
    <t>TEMP_LUT_TC9</t>
  </si>
  <si>
    <t>0x19</t>
    <phoneticPr fontId="2" type="noConversion"/>
  </si>
  <si>
    <t>TEMP_LUT_TC10</t>
  </si>
  <si>
    <t>D15</t>
    <phoneticPr fontId="2" type="noConversion"/>
  </si>
  <si>
    <t>D14</t>
    <phoneticPr fontId="2" type="noConversion"/>
  </si>
  <si>
    <t>D13</t>
    <phoneticPr fontId="2" type="noConversion"/>
  </si>
  <si>
    <t>D12</t>
    <phoneticPr fontId="2" type="noConversion"/>
  </si>
  <si>
    <t>MCAST</t>
    <phoneticPr fontId="2" type="noConversion"/>
  </si>
  <si>
    <t>MCAST_ADDR[15:12]</t>
    <phoneticPr fontId="1" type="noConversion"/>
  </si>
  <si>
    <t>MCAST_ADDR[11:0]</t>
    <phoneticPr fontId="1" type="noConversion"/>
  </si>
  <si>
    <t>RGB</t>
    <phoneticPr fontId="2" type="noConversion"/>
  </si>
  <si>
    <t>R_DATA[7:0]</t>
    <phoneticPr fontId="1" type="noConversion"/>
  </si>
  <si>
    <t>G_DATA[7:4]</t>
    <phoneticPr fontId="1" type="noConversion"/>
  </si>
  <si>
    <t>B_DATA[7:0]</t>
    <phoneticPr fontId="1" type="noConversion"/>
  </si>
  <si>
    <t>Reset Source</t>
    <phoneticPr fontId="1" type="noConversion"/>
  </si>
  <si>
    <t xml:space="preserve">1. POR : digital input signal (porb) </t>
    <phoneticPr fontId="1" type="noConversion"/>
  </si>
  <si>
    <t>2. RESET : registers reset by RESET command</t>
    <phoneticPr fontId="1" type="noConversion"/>
  </si>
  <si>
    <t>Access</t>
    <phoneticPr fontId="1" type="noConversion"/>
  </si>
  <si>
    <t>1. RW : Read / Write access</t>
    <phoneticPr fontId="1" type="noConversion"/>
  </si>
  <si>
    <t>2. RO : Read Only access</t>
    <phoneticPr fontId="1" type="noConversion"/>
  </si>
  <si>
    <t>3. RC : Read Clear access</t>
    <phoneticPr fontId="1" type="noConversion"/>
  </si>
  <si>
    <t>Name</t>
    <phoneticPr fontId="1" type="noConversion"/>
  </si>
  <si>
    <t>Addr</t>
    <phoneticPr fontId="1" type="noConversion"/>
  </si>
  <si>
    <t>Bit 11</t>
    <phoneticPr fontId="1" type="noConversion"/>
  </si>
  <si>
    <t>Bit 10</t>
    <phoneticPr fontId="1" type="noConversion"/>
  </si>
  <si>
    <t>Bit 9</t>
    <phoneticPr fontId="1" type="noConversion"/>
  </si>
  <si>
    <t>Bit 8</t>
    <phoneticPr fontId="1" type="noConversion"/>
  </si>
  <si>
    <t>Bit 7</t>
    <phoneticPr fontId="1" type="noConversion"/>
  </si>
  <si>
    <t>Bit 6</t>
    <phoneticPr fontId="1" type="noConversion"/>
  </si>
  <si>
    <t>Bit 5</t>
    <phoneticPr fontId="1" type="noConversion"/>
  </si>
  <si>
    <t>Bit 4</t>
    <phoneticPr fontId="1" type="noConversion"/>
  </si>
  <si>
    <t>Bit 3</t>
    <phoneticPr fontId="1" type="noConversion"/>
  </si>
  <si>
    <t>Bit 2</t>
    <phoneticPr fontId="1" type="noConversion"/>
  </si>
  <si>
    <t>Bit 1</t>
    <phoneticPr fontId="1" type="noConversion"/>
  </si>
  <si>
    <t>Bit 0</t>
    <phoneticPr fontId="1" type="noConversion"/>
  </si>
  <si>
    <t>STATUS1</t>
    <phoneticPr fontId="1" type="noConversion"/>
  </si>
  <si>
    <t>Content</t>
    <phoneticPr fontId="1" type="noConversion"/>
  </si>
  <si>
    <t>Reset Value</t>
    <phoneticPr fontId="1" type="noConversion"/>
  </si>
  <si>
    <t>0x0</t>
    <phoneticPr fontId="1" type="noConversion"/>
  </si>
  <si>
    <t>POR, RESET</t>
    <phoneticPr fontId="1" type="noConversion"/>
  </si>
  <si>
    <t>RO</t>
    <phoneticPr fontId="1" type="noConversion"/>
  </si>
  <si>
    <t>Bit Description</t>
    <phoneticPr fontId="1" type="noConversion"/>
  </si>
  <si>
    <t>STATUS2</t>
    <phoneticPr fontId="1" type="noConversion"/>
  </si>
  <si>
    <t>OTPCRC</t>
    <phoneticPr fontId="1" type="noConversion"/>
  </si>
  <si>
    <t>RC</t>
    <phoneticPr fontId="1" type="noConversion"/>
  </si>
  <si>
    <t>TEMP</t>
    <phoneticPr fontId="1" type="noConversion"/>
  </si>
  <si>
    <t>0x000</t>
    <phoneticPr fontId="1" type="noConversion"/>
  </si>
  <si>
    <t>VEXT_TM</t>
    <phoneticPr fontId="1" type="noConversion"/>
  </si>
  <si>
    <t>SETUP1</t>
    <phoneticPr fontId="1" type="noConversion"/>
  </si>
  <si>
    <t>SETUP2</t>
    <phoneticPr fontId="1" type="noConversion"/>
  </si>
  <si>
    <t>Bit 23</t>
    <phoneticPr fontId="1" type="noConversion"/>
  </si>
  <si>
    <t>Bit 22</t>
    <phoneticPr fontId="1" type="noConversion"/>
  </si>
  <si>
    <t>Bit 21</t>
    <phoneticPr fontId="1" type="noConversion"/>
  </si>
  <si>
    <t>Bit 20</t>
    <phoneticPr fontId="1" type="noConversion"/>
  </si>
  <si>
    <t>Bit 19</t>
    <phoneticPr fontId="1" type="noConversion"/>
  </si>
  <si>
    <t>Bit 18</t>
    <phoneticPr fontId="1" type="noConversion"/>
  </si>
  <si>
    <t>Bit 17</t>
    <phoneticPr fontId="1" type="noConversion"/>
  </si>
  <si>
    <t>Bit 16</t>
    <phoneticPr fontId="1" type="noConversion"/>
  </si>
  <si>
    <t>Bit 15</t>
    <phoneticPr fontId="1" type="noConversion"/>
  </si>
  <si>
    <t>Bit 14</t>
    <phoneticPr fontId="1" type="noConversion"/>
  </si>
  <si>
    <t>Bit 13</t>
    <phoneticPr fontId="1" type="noConversion"/>
  </si>
  <si>
    <t>Bit 12</t>
    <phoneticPr fontId="1" type="noConversion"/>
  </si>
  <si>
    <t>MCAST</t>
    <phoneticPr fontId="1" type="noConversion"/>
  </si>
  <si>
    <t>RGB</t>
    <phoneticPr fontId="1" type="noConversion"/>
  </si>
  <si>
    <t>0x00</t>
    <phoneticPr fontId="1" type="noConversion"/>
  </si>
  <si>
    <t>TEMPTH</t>
    <phoneticPr fontId="1" type="noConversion"/>
  </si>
  <si>
    <t>TEMP_THRESHOLD[9:0]: Overtemperature fault detection threshold. 
The OT_FLT is raised automatically the temperature increases above this value.</t>
    <phoneticPr fontId="1" type="noConversion"/>
  </si>
  <si>
    <t>TEMPHYS</t>
    <phoneticPr fontId="1" type="noConversion"/>
  </si>
  <si>
    <t>TEMP_HYSTERISIS[9:0]: Overtemperature fault release threshold. 
The OT_FLT can be cleared only when the temperature is below this value.</t>
    <phoneticPr fontId="1" type="noConversion"/>
  </si>
  <si>
    <t>PWM_RED_VAL</t>
    <phoneticPr fontId="1" type="noConversion"/>
  </si>
  <si>
    <t>PWM_RED_VAL[11:0]: 12bit RED PWM calculated data value</t>
    <phoneticPr fontId="1" type="noConversion"/>
  </si>
  <si>
    <t>PWM_GREEN_VAL</t>
    <phoneticPr fontId="1" type="noConversion"/>
  </si>
  <si>
    <t>PWM_GREEN_VAL[11:0]: 12bit GREEN calculated data value</t>
    <phoneticPr fontId="1" type="noConversion"/>
  </si>
  <si>
    <t>PWM_BLUE_VAL</t>
    <phoneticPr fontId="1" type="noConversion"/>
  </si>
  <si>
    <t>PWM_BLUE_VAL[11:0]: 12bit BLUE PWM calculated data value</t>
    <phoneticPr fontId="1" type="noConversion"/>
  </si>
  <si>
    <t>TEMP_LUT_TC1</t>
    <phoneticPr fontId="1" type="noConversion"/>
  </si>
  <si>
    <t>TEMP_LUT_TC2</t>
    <phoneticPr fontId="1" type="noConversion"/>
  </si>
  <si>
    <t>TEMP_LUT_TC3</t>
    <phoneticPr fontId="1" type="noConversion"/>
  </si>
  <si>
    <t>TEMP_LUT_TC4</t>
    <phoneticPr fontId="1" type="noConversion"/>
  </si>
  <si>
    <t>TEMP_LUT_TC5</t>
    <phoneticPr fontId="1" type="noConversion"/>
  </si>
  <si>
    <t>TEMP_LUT_TC6</t>
    <phoneticPr fontId="1" type="noConversion"/>
  </si>
  <si>
    <t>0x15</t>
    <phoneticPr fontId="1" type="noConversion"/>
  </si>
  <si>
    <t>TEMP_LUT_TC7</t>
    <phoneticPr fontId="1" type="noConversion"/>
  </si>
  <si>
    <t>0x16</t>
    <phoneticPr fontId="1" type="noConversion"/>
  </si>
  <si>
    <t>TEMP_LUT_TC8</t>
    <phoneticPr fontId="1" type="noConversion"/>
  </si>
  <si>
    <t>0x17</t>
    <phoneticPr fontId="1" type="noConversion"/>
  </si>
  <si>
    <t>TEMP_LUT_TC9</t>
    <phoneticPr fontId="1" type="noConversion"/>
  </si>
  <si>
    <t>0x18</t>
    <phoneticPr fontId="1" type="noConversion"/>
  </si>
  <si>
    <t>TEMP_LUT_TC10</t>
    <phoneticPr fontId="1" type="noConversion"/>
  </si>
  <si>
    <t>0x19</t>
    <phoneticPr fontId="1" type="noConversion"/>
  </si>
  <si>
    <t>TRIM_CONTROL</t>
    <phoneticPr fontId="1" type="noConversion"/>
  </si>
  <si>
    <t>POR</t>
    <phoneticPr fontId="1" type="noConversion"/>
  </si>
  <si>
    <t>TEST_E</t>
    <phoneticPr fontId="1" type="noConversion"/>
  </si>
  <si>
    <t>CKO_E</t>
    <phoneticPr fontId="1" type="noConversion"/>
  </si>
  <si>
    <t>PWM_MAX_R_E</t>
    <phoneticPr fontId="1" type="noConversion"/>
  </si>
  <si>
    <t>PWM_MAX_G_E</t>
    <phoneticPr fontId="1" type="noConversion"/>
  </si>
  <si>
    <t>PWM_MAX_B_E</t>
    <phoneticPr fontId="1" type="noConversion"/>
  </si>
  <si>
    <t>OTP_CONTROL1</t>
  </si>
  <si>
    <t>OTP_RD</t>
    <phoneticPr fontId="1" type="noConversion"/>
  </si>
  <si>
    <t>OTP_WSEL[3:0]</t>
    <phoneticPr fontId="1" type="noConversion"/>
  </si>
  <si>
    <t>OTP_PG_ACC_CYCLE[15:12]</t>
    <phoneticPr fontId="1" type="noConversion"/>
  </si>
  <si>
    <t>OTP_CONTROL2</t>
  </si>
  <si>
    <t>OTP_PG_ACC_CYCLE[11:0]</t>
    <phoneticPr fontId="1" type="noConversion"/>
  </si>
  <si>
    <t>OTP_CONTROL3</t>
  </si>
  <si>
    <t>PROTECT[11:0]</t>
    <phoneticPr fontId="1" type="noConversion"/>
  </si>
  <si>
    <t>OTP_CRC[7:0]</t>
    <phoneticPr fontId="1" type="noConversion"/>
  </si>
  <si>
    <t>OTP_MIRROR1</t>
    <phoneticPr fontId="1" type="noConversion"/>
  </si>
  <si>
    <t>0x0F</t>
    <phoneticPr fontId="1" type="noConversion"/>
  </si>
  <si>
    <t>OTP_CONTROL1</t>
    <phoneticPr fontId="1" type="noConversion"/>
  </si>
  <si>
    <t>OTP_CONTROL2</t>
    <phoneticPr fontId="1" type="noConversion"/>
  </si>
  <si>
    <t>OTP_CONTROL3</t>
    <phoneticPr fontId="1" type="noConversion"/>
  </si>
  <si>
    <t>OTP_MIRROR2</t>
    <phoneticPr fontId="1" type="noConversion"/>
  </si>
  <si>
    <t>OTP_MIRROR3</t>
    <phoneticPr fontId="1" type="noConversion"/>
  </si>
  <si>
    <t>OTP_MIRROR4</t>
    <phoneticPr fontId="1" type="noConversion"/>
  </si>
  <si>
    <t>OTP_MIRROR5</t>
    <phoneticPr fontId="1" type="noConversion"/>
  </si>
  <si>
    <t>OTP_MIRROR6</t>
    <phoneticPr fontId="1" type="noConversion"/>
  </si>
  <si>
    <t>DUMMY</t>
    <phoneticPr fontId="1" type="noConversion"/>
  </si>
  <si>
    <t>4bit</t>
    <phoneticPr fontId="1" type="noConversion"/>
  </si>
  <si>
    <t>0xE0</t>
    <phoneticPr fontId="1" type="noConversion"/>
  </si>
  <si>
    <t>0xE1</t>
    <phoneticPr fontId="1" type="noConversion"/>
  </si>
  <si>
    <t>0xE2</t>
    <phoneticPr fontId="1" type="noConversion"/>
  </si>
  <si>
    <t>0xE3</t>
    <phoneticPr fontId="1" type="noConversion"/>
  </si>
  <si>
    <t>0xE5</t>
    <phoneticPr fontId="1" type="noConversion"/>
  </si>
  <si>
    <t>0xE6</t>
    <phoneticPr fontId="1" type="noConversion"/>
  </si>
  <si>
    <t>0xE7</t>
    <phoneticPr fontId="1" type="noConversion"/>
  </si>
  <si>
    <t>0xE8</t>
    <phoneticPr fontId="1" type="noConversion"/>
  </si>
  <si>
    <t>0xE9</t>
    <phoneticPr fontId="1" type="noConversion"/>
  </si>
  <si>
    <t>0xEA</t>
    <phoneticPr fontId="1" type="noConversion"/>
  </si>
  <si>
    <t>0xEB</t>
    <phoneticPr fontId="1" type="noConversion"/>
  </si>
  <si>
    <t>0xEC</t>
    <phoneticPr fontId="1" type="noConversion"/>
  </si>
  <si>
    <t>0xED</t>
    <phoneticPr fontId="1" type="noConversion"/>
  </si>
  <si>
    <t>0xEE</t>
    <phoneticPr fontId="1" type="noConversion"/>
  </si>
  <si>
    <t>0xEF</t>
    <phoneticPr fontId="1" type="noConversion"/>
  </si>
  <si>
    <t>0xF0</t>
    <phoneticPr fontId="1" type="noConversion"/>
  </si>
  <si>
    <t>0xF1</t>
    <phoneticPr fontId="1" type="noConversion"/>
  </si>
  <si>
    <t>0x5A5</t>
    <phoneticPr fontId="1" type="noConversion"/>
  </si>
  <si>
    <t>0x4</t>
    <phoneticPr fontId="1" type="noConversion"/>
  </si>
  <si>
    <t>0x140</t>
    <phoneticPr fontId="1" type="noConversion"/>
  </si>
  <si>
    <t>OTP_CONTROL</t>
    <phoneticPr fontId="1" type="noConversion"/>
  </si>
  <si>
    <t>OTP_WAFER</t>
    <phoneticPr fontId="1" type="noConversion"/>
  </si>
  <si>
    <t>OTP1_MIRROR1</t>
    <phoneticPr fontId="1" type="noConversion"/>
  </si>
  <si>
    <t>OTP1_MIRROR2</t>
    <phoneticPr fontId="1" type="noConversion"/>
  </si>
  <si>
    <t>0000_0001_0000</t>
    <phoneticPr fontId="3" type="noConversion"/>
  </si>
  <si>
    <t>OTP_PG1</t>
    <phoneticPr fontId="1" type="noConversion"/>
  </si>
  <si>
    <t>OTP_PG2</t>
    <phoneticPr fontId="1" type="noConversion"/>
  </si>
  <si>
    <t>CURR_MAX_LVL</t>
    <phoneticPr fontId="1" type="noConversion"/>
  </si>
  <si>
    <t>B_CURR_MAX_LVL[3:0]</t>
    <phoneticPr fontId="1" type="noConversion"/>
  </si>
  <si>
    <t>G_CURR_MAX_LVL[3:0]</t>
    <phoneticPr fontId="1" type="noConversion"/>
  </si>
  <si>
    <t>R_CURR_MAX_LVL[3:0]</t>
    <phoneticPr fontId="1" type="noConversion"/>
  </si>
  <si>
    <t>0101_1010_0101</t>
    <phoneticPr fontId="2" type="noConversion"/>
  </si>
  <si>
    <t>0000_0000_0000</t>
    <phoneticPr fontId="3" type="noConversion"/>
  </si>
  <si>
    <t>0000_1000_0000</t>
    <phoneticPr fontId="3" type="noConversion"/>
  </si>
  <si>
    <t>OTP_PACKAGE</t>
    <phoneticPr fontId="1" type="noConversion"/>
  </si>
  <si>
    <t>0000_0000_0000</t>
    <phoneticPr fontId="1" type="noConversion"/>
  </si>
  <si>
    <t>0xE1</t>
  </si>
  <si>
    <t>0xE2</t>
  </si>
  <si>
    <t>0xE3</t>
  </si>
  <si>
    <t>0xE4</t>
  </si>
  <si>
    <t>0xE5</t>
  </si>
  <si>
    <t>0xE6</t>
  </si>
  <si>
    <t>0xE7</t>
  </si>
  <si>
    <t>0xE8</t>
  </si>
  <si>
    <t>0xE9</t>
  </si>
  <si>
    <t>OTP2_MIRROR15</t>
  </si>
  <si>
    <t>OTP2_MIRROR16</t>
  </si>
  <si>
    <t>OTP2_MIRROR17</t>
  </si>
  <si>
    <t>0000_0100_0000</t>
    <phoneticPr fontId="2" type="noConversion"/>
  </si>
  <si>
    <t>0xE4</t>
    <phoneticPr fontId="1" type="noConversion"/>
  </si>
  <si>
    <t>0001_0100_0000</t>
    <phoneticPr fontId="2" type="noConversion"/>
  </si>
  <si>
    <t>0x20</t>
    <phoneticPr fontId="1" type="noConversion"/>
  </si>
  <si>
    <t>na</t>
    <phoneticPr fontId="1" type="noConversion"/>
  </si>
  <si>
    <t>OTP_PG_ACC_CYCLE [11:0]</t>
    <phoneticPr fontId="1" type="noConversion"/>
  </si>
  <si>
    <t>PROTECT [11:0]</t>
    <phoneticPr fontId="1" type="noConversion"/>
  </si>
  <si>
    <t>OTP_PG_ACC_CYCLE [15:12]</t>
    <phoneticPr fontId="1" type="noConversion"/>
  </si>
  <si>
    <t>OTP_WSEL [3:0]</t>
    <phoneticPr fontId="1" type="noConversion"/>
  </si>
  <si>
    <t>V_TRIM_BGR [5:0]</t>
    <phoneticPr fontId="1" type="noConversion"/>
  </si>
  <si>
    <t>I_TRIM_BGR [4:0]</t>
    <phoneticPr fontId="3" type="noConversion"/>
  </si>
  <si>
    <t>VLDO_CTRL [2:0]</t>
    <phoneticPr fontId="1" type="noConversion"/>
  </si>
  <si>
    <t>PWM_MAX_R [11:0]</t>
    <phoneticPr fontId="1" type="noConversion"/>
  </si>
  <si>
    <t>PWM_MAX_G [11:0]</t>
    <phoneticPr fontId="1" type="noConversion"/>
  </si>
  <si>
    <t>PWM_MAX_B [11:0]</t>
    <phoneticPr fontId="1" type="noConversion"/>
  </si>
  <si>
    <t>ITRIM_R [7:0]</t>
    <phoneticPr fontId="1" type="noConversion"/>
  </si>
  <si>
    <t>ITRIM_G [7:0]</t>
    <phoneticPr fontId="1" type="noConversion"/>
  </si>
  <si>
    <t>ITRIM_B [7:0]</t>
    <phoneticPr fontId="1" type="noConversion"/>
  </si>
  <si>
    <t>OSC_CTL [7:0]</t>
    <phoneticPr fontId="1" type="noConversion"/>
  </si>
  <si>
    <t>SIO1_TR_TX_BIAS [2:0]</t>
    <phoneticPr fontId="1" type="noConversion"/>
  </si>
  <si>
    <t>SIO1_TR_RES [1:0]</t>
    <phoneticPr fontId="1" type="noConversion"/>
  </si>
  <si>
    <t>SIO2_TR_RES [1:0]</t>
    <phoneticPr fontId="1" type="noConversion"/>
  </si>
  <si>
    <t>SIO2_TR_TX_BIAS [2:0]</t>
    <phoneticPr fontId="1" type="noConversion"/>
  </si>
  <si>
    <t>TC_BASE [9:0]</t>
    <phoneticPr fontId="1" type="noConversion"/>
  </si>
  <si>
    <t>TC_OFFSET [9:0]</t>
    <phoneticPr fontId="1" type="noConversion"/>
  </si>
  <si>
    <t>ADC_GAIN [4:0]</t>
    <phoneticPr fontId="1" type="noConversion"/>
  </si>
  <si>
    <t>CURR_MAX_LVL</t>
    <phoneticPr fontId="2" type="noConversion"/>
  </si>
  <si>
    <t>TEMP_LUT_TC1 [9:0]</t>
    <phoneticPr fontId="1" type="noConversion"/>
  </si>
  <si>
    <t>TEMP_LUT_TC10 [9:0]</t>
    <phoneticPr fontId="1" type="noConversion"/>
  </si>
  <si>
    <t>TEMP_LUT_TC9 [9:0]</t>
    <phoneticPr fontId="1" type="noConversion"/>
  </si>
  <si>
    <t>TEMP_LUT_TC8 [9:0]</t>
    <phoneticPr fontId="1" type="noConversion"/>
  </si>
  <si>
    <t>TEMP_LUT_TC7 [9:0]</t>
    <phoneticPr fontId="1" type="noConversion"/>
  </si>
  <si>
    <t>TEMP_LUT_TC6 [9:0]</t>
    <phoneticPr fontId="1" type="noConversion"/>
  </si>
  <si>
    <t>TEMP_LUT_TC5 [9:0]</t>
    <phoneticPr fontId="1" type="noConversion"/>
  </si>
  <si>
    <t>TEMP_LUT_TC4 [9:0]</t>
    <phoneticPr fontId="1" type="noConversion"/>
  </si>
  <si>
    <t>TEMP_LUT_TC3 [9:0]</t>
    <phoneticPr fontId="1" type="noConversion"/>
  </si>
  <si>
    <t>TEMP_LUT_TC2 [9:0]</t>
    <phoneticPr fontId="1" type="noConversion"/>
  </si>
  <si>
    <t>TEMP_LUT_TC1[9:0]: when the TEMPERATURE is from TC_BASE to TC_OFFSET, TEMP_LUT_TC1[9:0] is applied during TC equation</t>
    <phoneticPr fontId="1" type="noConversion"/>
  </si>
  <si>
    <t>TEMP_LUT_TC2[9:0]: when the TEMPERATURE is in the range of (TC_BASE+TC_OFFSET*1+1) to TC_OFFSET, TEMP_LUT_TC2[9:0] is applied during TC equation</t>
    <phoneticPr fontId="1" type="noConversion"/>
  </si>
  <si>
    <t>TEMP_LUT_TC3[9:0]: when the TEMPERATURE is in the range of (TC_BASE+TC_OFFSET*2+2) to TC_OFFSET, TEMP_LUT_TC3[9:0] is applied during TC equation</t>
    <phoneticPr fontId="1" type="noConversion"/>
  </si>
  <si>
    <t>TEMP_LUT_TC4[9:0]: when the TEMPERATURE is in the range of (TC_BASE+TC_OFFSET*3+3) to TC_OFFSET, TEMP_LUT_TC4[9:0] is applied during TC equation</t>
    <phoneticPr fontId="1" type="noConversion"/>
  </si>
  <si>
    <t>TEMP_LUT_TC5[9:0]: when the TEMPERATURE is in the range of (TC_BASE+TC_OFFSET*4+4) to TC_OFFSET, TEMP_LUT_TC5[9:0] is applied during TC equation</t>
    <phoneticPr fontId="1" type="noConversion"/>
  </si>
  <si>
    <t>TEMP_LUT_TC6[9:0]: when the TEMPERATURE is in the range of (TC_BASE+TC_OFFSET*5+5) to TC_OFFSET, TEMP_LUT_TC6[9:0] is applied during TC equation</t>
    <phoneticPr fontId="1" type="noConversion"/>
  </si>
  <si>
    <t>TEMP_LUT_TC7[9:0]: when the TEMPERATURE is in the range of (TC_BASE+TC_OFFSET*6+6) to TC_OFFSET, TEMP_LUT_TC7[9:0] is applied during TC equation</t>
    <phoneticPr fontId="1" type="noConversion"/>
  </si>
  <si>
    <t>TEMP_LUT_TC8[9:0]: when the TEMPERATURE is in the range of (TC_BASE+TC_OFFSET*7+7) to TC_OFFSET, TEMP_LUT_TC8[9:0] is applied during TC equation</t>
    <phoneticPr fontId="1" type="noConversion"/>
  </si>
  <si>
    <t>TEMP_LUT_TC9[9:0]: when the TEMPERATURE is in the range of (TC_BASE+TC_OFFSET*8+8) to TC_OFFSET, TEMP_LUT_TC9[9:0] is applied during TC equation</t>
    <phoneticPr fontId="1" type="noConversion"/>
  </si>
  <si>
    <t>TEMP_LUT_TC10[9:0]: when the TEMPERATURE is in the range of (TC_BASE+TC_OFFSET*9+9) to TC_OFFSET, TEMP_LUT_TC10[9:0] is applied during TC equation</t>
    <phoneticPr fontId="1" type="noConversion"/>
  </si>
  <si>
    <t>TEMPERATURE[9:0]: Temperature data</t>
    <phoneticPr fontId="1" type="noConversion"/>
  </si>
  <si>
    <t>VEXT_TM[9:0]: EXT_TM pin voltage.</t>
    <phoneticPr fontId="1" type="noConversion"/>
  </si>
  <si>
    <t>0000_0010_0000</t>
    <phoneticPr fontId="3" type="noConversion"/>
  </si>
  <si>
    <t>TEMP_TRIM_BGR [5:0]</t>
    <phoneticPr fontId="1" type="noConversion"/>
  </si>
  <si>
    <t>This is for trimming at Fab wafer stage.</t>
    <phoneticPr fontId="1" type="noConversion"/>
  </si>
  <si>
    <t>This is for trimming at Packaging stage.</t>
    <phoneticPr fontId="1" type="noConversion"/>
  </si>
  <si>
    <t>To make room for TC compensation, the max value of PWM_MAX_R can not exceed about 2,900 (= 4095 * 40%) 
This is for trimming at Packaging stage.</t>
    <phoneticPr fontId="1" type="noConversion"/>
  </si>
  <si>
    <t>0x8</t>
    <phoneticPr fontId="1" type="noConversion"/>
  </si>
  <si>
    <t>FPWM_DIV[3:0]</t>
    <phoneticPr fontId="1" type="noConversion"/>
  </si>
  <si>
    <t>R_DATA[7:0]/G_DATA[7:0]/B_DATA[7:0]: This data is converted into 12-bit PWM data toward a sink driver.
PWM data = (R/G/B_DATA x PWM_MAX_R/G/B + 128) &gt;&gt; 8</t>
    <phoneticPr fontId="1" type="noConversion"/>
  </si>
  <si>
    <t>ADC_CLK_POL</t>
    <phoneticPr fontId="1" type="noConversion"/>
  </si>
  <si>
    <t>ANA_MOD_SEL [2:0]</t>
    <phoneticPr fontId="1" type="noConversion"/>
  </si>
  <si>
    <t>T_ANA_SEL[2:0]</t>
    <phoneticPr fontId="1" type="noConversion"/>
  </si>
  <si>
    <t>MCAST_ADDR[15:0]: Multicast group address. In case that the device address indicates the multicast group address. 
All devices received the command act like a broadcast and all device belonging to a multicast address should treat the command transaction.
This register can be accessed by SET_MCAST and READ_MCAST command.
[0] = 1 : Multicast group address 0xFEF
[1] = 1 : Multicast group address 0xFF0
〮〮〮
[15] = 1 : Multicast group address 0xFFE
12bits device addr
0x000 → broad-cast addr
0x001~0xFEE → individual node addr
0xFEF~0xFFE → multi-cast addr
0xFFF → default addr</t>
    <phoneticPr fontId="1" type="noConversion"/>
  </si>
  <si>
    <t>EVENT_CYC</t>
    <phoneticPr fontId="1" type="noConversion"/>
  </si>
  <si>
    <t>0x21</t>
    <phoneticPr fontId="1" type="noConversion"/>
  </si>
  <si>
    <t>0x3</t>
    <phoneticPr fontId="1" type="noConversion"/>
  </si>
  <si>
    <t>Command</t>
    <phoneticPr fontId="1" type="noConversion"/>
  </si>
  <si>
    <t>Normal Command</t>
    <phoneticPr fontId="1" type="noConversion"/>
  </si>
  <si>
    <t>Encoding</t>
    <phoneticPr fontId="1" type="noConversion"/>
  </si>
  <si>
    <t>Broadcast possible</t>
  </si>
  <si>
    <t>Broadcast possible</t>
    <phoneticPr fontId="1" type="noConversion"/>
  </si>
  <si>
    <t>Multicast possible</t>
  </si>
  <si>
    <t>SR (Status Request) Command</t>
  </si>
  <si>
    <t>Encoding with SR</t>
  </si>
  <si>
    <t>Data bits</t>
    <phoneticPr fontId="1" type="noConversion"/>
  </si>
  <si>
    <t>RESET</t>
  </si>
  <si>
    <t>CLRERROR</t>
  </si>
  <si>
    <t>SET_SETUP1</t>
  </si>
  <si>
    <t>SET_SETUP2</t>
  </si>
  <si>
    <t>SET_MCAST</t>
  </si>
  <si>
    <t>SET_RGB</t>
  </si>
  <si>
    <t>SET_TEMPTH</t>
  </si>
  <si>
    <t>SET_TEMPHYS</t>
  </si>
  <si>
    <t>SET_TEMP_LUT_TC1</t>
  </si>
  <si>
    <t>SET_TEMP_LUT_TC2</t>
  </si>
  <si>
    <t>READ_STATUS1</t>
  </si>
  <si>
    <t>READ_STATUS2</t>
  </si>
  <si>
    <t>READ_TEMP</t>
  </si>
  <si>
    <t>READ_TEMPST</t>
  </si>
  <si>
    <t>READ_VEXT_TM</t>
  </si>
  <si>
    <t>READ_SETUP1</t>
  </si>
  <si>
    <t>READ_SETUP2</t>
  </si>
  <si>
    <t>READ_MCAST</t>
  </si>
  <si>
    <t>READ_RGB</t>
  </si>
  <si>
    <t>READ_TEMPTH</t>
  </si>
  <si>
    <t>READ_TEMPHYS</t>
  </si>
  <si>
    <t>READ_PWM_RED_VAL</t>
  </si>
  <si>
    <t>READ_PWM_GREEN_VAL</t>
  </si>
  <si>
    <t>READ_PWM_BLUE_VAL</t>
  </si>
  <si>
    <t>READ_TEMP_LUT_TC1</t>
  </si>
  <si>
    <t>SET_CURR_MAX_LVL</t>
    <phoneticPr fontId="1" type="noConversion"/>
  </si>
  <si>
    <t>READ_CURR_MAX_LVL</t>
    <phoneticPr fontId="1" type="noConversion"/>
  </si>
  <si>
    <t>O</t>
  </si>
  <si>
    <t>X</t>
  </si>
  <si>
    <t>O</t>
    <phoneticPr fontId="1" type="noConversion"/>
  </si>
  <si>
    <t>0x0F</t>
    <phoneticPr fontId="2" type="noConversion"/>
  </si>
  <si>
    <t>* Command Encoding description</t>
    <phoneticPr fontId="1" type="noConversion"/>
  </si>
  <si>
    <t>[7:6]</t>
    <phoneticPr fontId="1" type="noConversion"/>
  </si>
  <si>
    <t>2'b01</t>
    <phoneticPr fontId="1" type="noConversion"/>
  </si>
  <si>
    <t>2'b10</t>
    <phoneticPr fontId="1" type="noConversion"/>
  </si>
  <si>
    <t>2'b11</t>
    <phoneticPr fontId="1" type="noConversion"/>
  </si>
  <si>
    <t>SR command</t>
    <phoneticPr fontId="1" type="noConversion"/>
  </si>
  <si>
    <t>[5:0]</t>
    <phoneticPr fontId="1" type="noConversion"/>
  </si>
  <si>
    <t>Register Address</t>
    <phoneticPr fontId="1" type="noConversion"/>
  </si>
  <si>
    <t>Write command</t>
    <phoneticPr fontId="1" type="noConversion"/>
  </si>
  <si>
    <t>Read command</t>
    <phoneticPr fontId="1" type="noConversion"/>
  </si>
  <si>
    <t>ADC_OFFSET [8:0]</t>
    <phoneticPr fontId="1" type="noConversion"/>
  </si>
  <si>
    <t>0x200</t>
    <phoneticPr fontId="1" type="noConversion"/>
  </si>
  <si>
    <t>0x21A</t>
    <phoneticPr fontId="1" type="noConversion"/>
  </si>
  <si>
    <t>0x248</t>
    <phoneticPr fontId="1" type="noConversion"/>
  </si>
  <si>
    <t>0x276</t>
    <phoneticPr fontId="1" type="noConversion"/>
  </si>
  <si>
    <t>0010_0000_0000</t>
    <phoneticPr fontId="2" type="noConversion"/>
  </si>
  <si>
    <t>0010_0001_1010</t>
    <phoneticPr fontId="2" type="noConversion"/>
  </si>
  <si>
    <t>0010_0100_1000</t>
    <phoneticPr fontId="2" type="noConversion"/>
  </si>
  <si>
    <t>0010_0111_0110</t>
    <phoneticPr fontId="2" type="noConversion"/>
  </si>
  <si>
    <t>PH_SHIFT_E</t>
    <phoneticPr fontId="1" type="noConversion"/>
  </si>
  <si>
    <t>The 0x5A5 is intended to protect all access to OTP mirror registers.
The 0xA5A is intended to give access to OTP mirror registers.
it is needed to set to 0xA5A in order to read, write and program the OTP.</t>
    <phoneticPr fontId="1" type="noConversion"/>
  </si>
  <si>
    <t>dumy</t>
    <phoneticPr fontId="1" type="noConversion"/>
  </si>
  <si>
    <t>Frame Data@NORMAL</t>
    <phoneticPr fontId="2" type="noConversion"/>
  </si>
  <si>
    <t>OTP1_MIRROR3</t>
  </si>
  <si>
    <t>OTP1_MIRROR4</t>
  </si>
  <si>
    <t>OTP1_MIRROR5</t>
  </si>
  <si>
    <t>OTP1_MIRROR6</t>
  </si>
  <si>
    <t>0xF2</t>
  </si>
  <si>
    <t>0xF3</t>
  </si>
  <si>
    <t>0xF4</t>
  </si>
  <si>
    <t>D15</t>
  </si>
  <si>
    <t>D14</t>
  </si>
  <si>
    <t>D13</t>
  </si>
  <si>
    <t>D12</t>
  </si>
  <si>
    <t>I2C@TESTMODE</t>
  </si>
  <si>
    <t>D11</t>
  </si>
  <si>
    <t>D10</t>
  </si>
  <si>
    <t>D9</t>
  </si>
  <si>
    <t>D8</t>
  </si>
  <si>
    <t>D7</t>
  </si>
  <si>
    <t>D6</t>
  </si>
  <si>
    <t>D0</t>
    <phoneticPr fontId="2" type="noConversion"/>
  </si>
  <si>
    <t>D1</t>
    <phoneticPr fontId="2" type="noConversion"/>
  </si>
  <si>
    <t>D23</t>
  </si>
  <si>
    <t>D22</t>
  </si>
  <si>
    <t>D21</t>
  </si>
  <si>
    <t>D20</t>
  </si>
  <si>
    <t>D19</t>
  </si>
  <si>
    <t>D18</t>
  </si>
  <si>
    <t>D17</t>
  </si>
  <si>
    <t>D16</t>
  </si>
  <si>
    <t>SET_TIMEOUT</t>
    <phoneticPr fontId="1" type="noConversion"/>
  </si>
  <si>
    <t>READ_TIMEOUT</t>
    <phoneticPr fontId="1" type="noConversion"/>
  </si>
  <si>
    <t>0x1A</t>
    <phoneticPr fontId="2" type="noConversion"/>
  </si>
  <si>
    <t>TIMEOUT</t>
    <phoneticPr fontId="2" type="noConversion"/>
  </si>
  <si>
    <t>TIMEOUT[11:0]</t>
    <phoneticPr fontId="2" type="noConversion"/>
  </si>
  <si>
    <t>TIMEOUT</t>
    <phoneticPr fontId="1" type="noConversion"/>
  </si>
  <si>
    <t>0x1A</t>
    <phoneticPr fontId="1" type="noConversion"/>
  </si>
  <si>
    <t>TIMEOUT [11:0]</t>
    <phoneticPr fontId="1" type="noConversion"/>
  </si>
  <si>
    <t>ref clk = mclk * 2^10</t>
    <phoneticPr fontId="1" type="noConversion"/>
  </si>
  <si>
    <t>1000_0000_0000</t>
    <phoneticPr fontId="2" type="noConversion"/>
  </si>
  <si>
    <t>0x800</t>
    <phoneticPr fontId="1" type="noConversion"/>
  </si>
  <si>
    <t>na</t>
  </si>
  <si>
    <t>BGR_R1_TRIM&lt;3:0&gt;</t>
  </si>
  <si>
    <t>BGR_R2_TRIM&lt;3:0&gt;</t>
  </si>
  <si>
    <t>0000_0000_1000</t>
    <phoneticPr fontId="1" type="noConversion"/>
  </si>
  <si>
    <t>T_ANA_E</t>
    <phoneticPr fontId="1" type="noConversion"/>
  </si>
  <si>
    <t>0010_0011_0001</t>
    <phoneticPr fontId="2" type="noConversion"/>
  </si>
  <si>
    <t>0010_0101_1111</t>
    <phoneticPr fontId="2" type="noConversion"/>
  </si>
  <si>
    <t>0010_1000_1101</t>
    <phoneticPr fontId="2" type="noConversion"/>
  </si>
  <si>
    <t>0010_1010_0100</t>
    <phoneticPr fontId="2" type="noConversion"/>
  </si>
  <si>
    <t>0010_1011_1011</t>
    <phoneticPr fontId="2" type="noConversion"/>
  </si>
  <si>
    <t>0x2</t>
    <phoneticPr fontId="1" type="noConversion"/>
  </si>
  <si>
    <t>for package</t>
    <phoneticPr fontId="1" type="noConversion"/>
  </si>
  <si>
    <t>for wafer stage</t>
    <phoneticPr fontId="1" type="noConversion"/>
  </si>
  <si>
    <t>0x231</t>
    <phoneticPr fontId="1" type="noConversion"/>
  </si>
  <si>
    <t>0x25F</t>
    <phoneticPr fontId="1" type="noConversion"/>
  </si>
  <si>
    <t>0x28D</t>
    <phoneticPr fontId="1" type="noConversion"/>
  </si>
  <si>
    <t>0x2A4</t>
    <phoneticPr fontId="1" type="noConversion"/>
  </si>
  <si>
    <t>0x2BB</t>
    <phoneticPr fontId="1" type="noConversion"/>
  </si>
  <si>
    <t>0010_0000_1000</t>
    <phoneticPr fontId="3" type="noConversion"/>
  </si>
  <si>
    <t>0x208</t>
    <phoneticPr fontId="1" type="noConversion"/>
  </si>
  <si>
    <t>0x008</t>
    <phoneticPr fontId="1" type="noConversion"/>
  </si>
  <si>
    <t>0000_0001_0000</t>
    <phoneticPr fontId="1" type="noConversion"/>
  </si>
  <si>
    <t>0xF5</t>
    <phoneticPr fontId="1" type="noConversion"/>
  </si>
  <si>
    <t>0xF6</t>
    <phoneticPr fontId="1" type="noConversion"/>
  </si>
  <si>
    <t>OTP1_MIRROR7</t>
  </si>
  <si>
    <t>OTP1_MIRROR8</t>
  </si>
  <si>
    <t>OTP1_MIRROR9</t>
  </si>
  <si>
    <t>OTP1_MIRROR10</t>
  </si>
  <si>
    <t>OTP1_MIRROR11</t>
  </si>
  <si>
    <t>OTP1_MIRROR12</t>
  </si>
  <si>
    <t>OTP1_MIRROR13</t>
  </si>
  <si>
    <t>OTP2_MIRROR14</t>
    <phoneticPr fontId="1" type="noConversion"/>
  </si>
  <si>
    <t>OTP2_MIRROR18</t>
  </si>
  <si>
    <t>OTP2_MIRROR19</t>
  </si>
  <si>
    <t>0xF2</t>
    <phoneticPr fontId="1" type="noConversion"/>
  </si>
  <si>
    <t>0xF3</t>
    <phoneticPr fontId="1" type="noConversion"/>
  </si>
  <si>
    <t>0xF4</t>
    <phoneticPr fontId="1" type="noConversion"/>
  </si>
  <si>
    <t>OTP_MIRROR7</t>
    <phoneticPr fontId="1" type="noConversion"/>
  </si>
  <si>
    <t>OTP_MIRROR8</t>
    <phoneticPr fontId="1" type="noConversion"/>
  </si>
  <si>
    <t>OTP_MIRROR9</t>
    <phoneticPr fontId="1" type="noConversion"/>
  </si>
  <si>
    <t>OTP_MIRROR10</t>
    <phoneticPr fontId="1" type="noConversion"/>
  </si>
  <si>
    <t>OTP_MIRROR11</t>
    <phoneticPr fontId="1" type="noConversion"/>
  </si>
  <si>
    <t>OTP_MIRROR12</t>
    <phoneticPr fontId="1" type="noConversion"/>
  </si>
  <si>
    <t>OTP_MIRROR13</t>
    <phoneticPr fontId="1" type="noConversion"/>
  </si>
  <si>
    <t>OTP_MIRROR14</t>
    <phoneticPr fontId="1" type="noConversion"/>
  </si>
  <si>
    <t>OTP_MIRROR15</t>
    <phoneticPr fontId="1" type="noConversion"/>
  </si>
  <si>
    <t>OTP_MIRROR16</t>
    <phoneticPr fontId="1" type="noConversion"/>
  </si>
  <si>
    <t>OTP_MIRROR17</t>
    <phoneticPr fontId="1" type="noConversion"/>
  </si>
  <si>
    <t>OTP_MIRROR18</t>
    <phoneticPr fontId="1" type="noConversion"/>
  </si>
  <si>
    <t>OTP_MIRROR19</t>
    <phoneticPr fontId="1" type="noConversion"/>
  </si>
  <si>
    <t>0x080</t>
    <phoneticPr fontId="1" type="noConversion"/>
  </si>
  <si>
    <t>0x010</t>
    <phoneticPr fontId="1" type="noConversion"/>
  </si>
  <si>
    <t>0x0</t>
  </si>
  <si>
    <t>(</t>
    <phoneticPr fontId="1" type="noConversion"/>
  </si>
  <si>
    <t>TEMP_LUT_TC1 [9:0]</t>
    <phoneticPr fontId="2" type="noConversion"/>
  </si>
  <si>
    <t>TEMP_LUT_TC2 [9:0]</t>
    <phoneticPr fontId="2" type="noConversion"/>
  </si>
  <si>
    <t>TEMP_LUT_TC3 [9:0]</t>
    <phoneticPr fontId="2" type="noConversion"/>
  </si>
  <si>
    <t>TEMP_LUT_TC4 [9:0]</t>
    <phoneticPr fontId="2" type="noConversion"/>
  </si>
  <si>
    <t>TEMP_LUT_TC5 [9:0]</t>
    <phoneticPr fontId="2" type="noConversion"/>
  </si>
  <si>
    <t>TEMP_LUT_TC6 [9:0]</t>
    <phoneticPr fontId="2" type="noConversion"/>
  </si>
  <si>
    <t>TEMP_LUT_TC7 [9:0]</t>
    <phoneticPr fontId="2" type="noConversion"/>
  </si>
  <si>
    <t>TEMP_LUT_TC8 [9:0]</t>
    <phoneticPr fontId="2" type="noConversion"/>
  </si>
  <si>
    <t>TEMP_LUT_TC9 [9:0]</t>
    <phoneticPr fontId="2" type="noConversion"/>
  </si>
  <si>
    <t>TEMP_LUT_TC10 [9:0]</t>
    <phoneticPr fontId="2" type="noConversion"/>
  </si>
  <si>
    <t>0000_0000_1110</t>
    <phoneticPr fontId="2" type="noConversion"/>
  </si>
  <si>
    <t>1000_1000_1000</t>
    <phoneticPr fontId="2" type="noConversion"/>
  </si>
  <si>
    <t>OTP_PG2:
This is used to start programming the OTP 128bits on Packaging stage for trimming.
OTP_PG1:
This is used to start programming the OTP 64bits on Fab wafer stage for trimming.
T_ANA_E: Test Mux Enable</t>
    <phoneticPr fontId="1" type="noConversion"/>
  </si>
  <si>
    <t>IC_STATE[2:0]: Represent current IC state.
3'b000 : POR. (default)
3'b001 : Uninitialized
3'b010 : Sleep
3'b011 : Active
3'b100 : Deepsleep
SIO2[1:0]: Communication mode of SIO2.
2'b00 : LVDS
2'b01 : EOL
2'b10 : MCU
2'b11 : CAN
Value is set automatically at startup and after reset.
SIO1[1:0]: Communication mode of SIO1.
2'b00 : LVDS
2'b01 : EOL
2'b10 : MCU
2'b11 : CAN
Value is set automatically at startup and after reset.</t>
    <phoneticPr fontId="1" type="noConversion"/>
  </si>
  <si>
    <r>
      <t xml:space="preserve">TEST_E: 
If TEST_E is ‘0’ in TEST MODE, there is not any specitial behavior.
If TEST_E is '1' in TEST MODE, all registers are working for each register's purpose and the OTP re-downloading and crc calculation will not work for easy trimming.
CKO_E:
If TEST_E '1' and CKO_E '1' in TEST MODE, the divided clock (=mclk/16) will be driven on SIO2_N pin.
ADC_CLK_POL:
ANA_MOD_SEL[2:0]:
To select a analog module activation for test.
0: NOP (the relavant logics are all deactivated)
T_ANA_SEL [2:0]:
To determin the internal analog signal to be driven on the pin, EXT_TM, for test.
0: NOP (the relavant logics are all deactivated)
PWM_MAX_R/G/B_E:
If TEST_E ‘1’ and PWM_MAX_R/G/B_E '1' in TEST MODE, the PWM signal toward the output sink driver will depends on the PWM_MAX_R/G/B register value at a pwm period by F_PWM_DIV.
</t>
    </r>
    <r>
      <rPr>
        <sz val="8"/>
        <color rgb="FFFF00FF"/>
        <rFont val="Arial"/>
        <family val="2"/>
      </rPr>
      <t>If TEST_E '1' and PWM_MAX_R/G/B_E '0' in TEST MODE,  the PWM operation can work like ACTIVE MODE after the R/G/B data registers' value are written to '0' firstly and then other target values.</t>
    </r>
    <phoneticPr fontId="1" type="noConversion"/>
  </si>
  <si>
    <t>TC_E:
0: RED LED temperature compensation disable.
1: RED LED temperature compensation enable.
OS_FLT_E:
0: LED open/short fault flag, OS_FLT, is raised.
1: OS_FLT bit is raised, and LED drivers are disabled.
OT_FLT_E:
0: Overtemperature fault flag, OT_FLT, is raised.
1: OT_FLT bit is raised, and LED drivers are disabled.
UV_FLT_E:
0: Undervoltage fault flag, UV_FLT, is raised.
1: UV_FLT bit is raised, and LED drivers are disabled.
COM_FLT_E:
0: Communication fault flag, C_FLT, is raised.
1: C_FLT bit is raised, and LED drivers are disabled.
CRC_E:
0: CRC disabled.
1: CRC enabled.
PH_SHIFT_E:
0: No shift
1: G starts driving the sink-output at 0 degree, and then R, 90 degree and B, 270 degree, respectively.
LG_E:
0: Low Grayscale PWM disable.
1: Low Grayscale PWM enable.
If R/G/B each 8-bit data ＜ 0x4, the PWM frequency is FPWM/4, and if 0x3 &lt; data ＜ 0x8, the PWM frequency is FPWM/2
FPWM_DIV[3:0]: PWM Frequency divider. The PWM Frequency is activated in only active mode. FPWM = mclk / (F_PWM_DIV+1)</t>
    <phoneticPr fontId="1" type="noConversion"/>
  </si>
  <si>
    <r>
      <t xml:space="preserve">CLK_INV_E: CLK polarity for MCU mode
0: Inverted disabled.
1: Inverted enabled.
VEXT_MON_E:
0: EXT_TM pin voltage monitoring disable.
1: EXT_TM pin voltage monitoring enable.
</t>
    </r>
    <r>
      <rPr>
        <strike/>
        <sz val="8"/>
        <rFont val="맑은 고딕"/>
        <family val="3"/>
        <charset val="129"/>
        <scheme val="minor"/>
      </rPr>
      <t xml:space="preserve">
</t>
    </r>
    <r>
      <rPr>
        <sz val="8"/>
        <rFont val="맑은 고딕"/>
        <family val="3"/>
        <charset val="129"/>
        <scheme val="minor"/>
      </rPr>
      <t xml:space="preserve">EVENT_CYC:
This bit determines a period to detect fault events or </t>
    </r>
    <r>
      <rPr>
        <sz val="8"/>
        <color rgb="FFFF0000"/>
        <rFont val="맑은 고딕"/>
        <family val="3"/>
        <charset val="129"/>
        <scheme val="minor"/>
      </rPr>
      <t>ADC clock.</t>
    </r>
    <r>
      <rPr>
        <sz val="8"/>
        <rFont val="맑은 고딕"/>
        <family val="3"/>
        <charset val="129"/>
        <scheme val="minor"/>
      </rPr>
      <t xml:space="preserve">
0: 31.25khz (typical 32us)
1: 62.5khz (typical 16us)
UV_LVL[1:0]: UVLO detection level.
2'b00 : VUV_TH = 3.6V
2'b01 : VUV_TH = 3.8V
2'b10 : VUV_TH = 4.0V
2'b11 : VUV_TH = 4.2V (default)
SH_LVL[1:0]: LED Short detection level.
2'b00 : VS_TH = 3.75V
2'b01 : VS_TH = 4.00V 
2'b10 : VS_TH = 4.25V (default)
2'b11 : VS_TH = 4.50V</t>
    </r>
    <phoneticPr fontId="1" type="noConversion"/>
  </si>
  <si>
    <r>
      <t>This register's bits will be cleared after readout, but even if auto-cleared after readout, each bit will be set immediately as long as its source stays in event condition.
OTPCRC:
This is set during startup and working when a mismatch between the OTP values and the internal CRC is detected. Cleared after readout.
T_OUT
Frame Time Out event flag is raised if the response is not arrived within a fixed time, and auto-cleared after readout.
OPEN_R/G/B: 
R/G/B LED Open event flag is raised if the detection condition, V</t>
    </r>
    <r>
      <rPr>
        <vertAlign val="subscript"/>
        <sz val="8"/>
        <rFont val="맑은 고딕"/>
        <family val="3"/>
        <charset val="129"/>
        <scheme val="minor"/>
      </rPr>
      <t>HD</t>
    </r>
    <r>
      <rPr>
        <sz val="8"/>
        <rFont val="맑은 고딕"/>
        <family val="3"/>
        <charset val="129"/>
      </rPr>
      <t>＜</t>
    </r>
    <r>
      <rPr>
        <sz val="8"/>
        <rFont val="맑은 고딕"/>
        <family val="3"/>
        <charset val="129"/>
        <scheme val="minor"/>
      </rPr>
      <t>V</t>
    </r>
    <r>
      <rPr>
        <vertAlign val="subscript"/>
        <sz val="8"/>
        <rFont val="맑은 고딕"/>
        <family val="3"/>
        <charset val="129"/>
        <scheme val="minor"/>
      </rPr>
      <t xml:space="preserve">OPEN </t>
    </r>
    <r>
      <rPr>
        <sz val="8"/>
        <rFont val="맑은 고딕"/>
        <family val="3"/>
        <charset val="129"/>
        <scheme val="minor"/>
      </rPr>
      <t xml:space="preserve">(=0.25V) and the PWM output signal is active, </t>
    </r>
    <r>
      <rPr>
        <sz val="8"/>
        <color rgb="FFFF0000"/>
        <rFont val="맑은 고딕"/>
        <family val="3"/>
        <charset val="129"/>
        <scheme val="minor"/>
      </rPr>
      <t>continues for 16 consecutive FPWM_DIV cycles.</t>
    </r>
    <r>
      <rPr>
        <sz val="8"/>
        <rFont val="맑은 고딕"/>
        <family val="3"/>
        <charset val="129"/>
        <scheme val="minor"/>
      </rPr>
      <t xml:space="preserve">
If the event flag is raised under OS_FLT_E ‘1’, then the device state will transit to a SLEEP state and the LED sink driver will be turned off.
This bit is auto-cleared after readout, but if the detection condition is still valid after readout, this bit will be set again immediately unless the condition is removed.
SHORT_R/G/B: 
R/G/B LED Short event flag is raised if the detection condition, V</t>
    </r>
    <r>
      <rPr>
        <vertAlign val="subscript"/>
        <sz val="8"/>
        <rFont val="맑은 고딕"/>
        <family val="3"/>
        <charset val="129"/>
        <scheme val="minor"/>
      </rPr>
      <t>HD</t>
    </r>
    <r>
      <rPr>
        <sz val="8"/>
        <rFont val="맑은 고딕"/>
        <family val="3"/>
        <charset val="129"/>
        <scheme val="minor"/>
      </rPr>
      <t xml:space="preserve"> ≥ V</t>
    </r>
    <r>
      <rPr>
        <vertAlign val="subscript"/>
        <sz val="8"/>
        <rFont val="맑은 고딕"/>
        <family val="3"/>
        <charset val="129"/>
        <scheme val="minor"/>
      </rPr>
      <t xml:space="preserve">S_TH </t>
    </r>
    <r>
      <rPr>
        <sz val="8"/>
        <rFont val="맑은 고딕"/>
        <family val="3"/>
        <charset val="129"/>
        <scheme val="minor"/>
      </rPr>
      <t xml:space="preserve">(configurable with SH_LVL) and the PWM output F28signal is active, </t>
    </r>
    <r>
      <rPr>
        <sz val="8"/>
        <color rgb="FFFF0000"/>
        <rFont val="맑은 고딕"/>
        <family val="3"/>
        <charset val="129"/>
        <scheme val="minor"/>
      </rPr>
      <t>continues for 16 consecutive FPWM_DIV cycles.</t>
    </r>
    <r>
      <rPr>
        <sz val="8"/>
        <rFont val="맑은 고딕"/>
        <family val="3"/>
        <charset val="129"/>
        <scheme val="minor"/>
      </rPr>
      <t xml:space="preserve">
If the event flag is raised under OS_FLT_E ‘1’, then the device state will transit to a SLEEP state and the LED sink driver will be turned off.
This bit is auto-cleared after readout, but if the detection condition is still valid after readout, this bit will be set again immediately unless the condition is removed.
OT_FLT: 
Over temperature fault flag is raised if the detection condition, TEMP &gt; TEMPTH, </t>
    </r>
    <r>
      <rPr>
        <sz val="8"/>
        <color rgb="FFFF0000"/>
        <rFont val="맑은 고딕"/>
        <family val="3"/>
        <charset val="129"/>
        <scheme val="minor"/>
      </rPr>
      <t>continues for 5 consecutive EVENT_CYC cycles.</t>
    </r>
    <r>
      <rPr>
        <sz val="8"/>
        <rFont val="맑은 고딕"/>
        <family val="3"/>
        <charset val="129"/>
        <scheme val="minor"/>
      </rPr>
      <t xml:space="preserve">
If the event flag is raised under OT_FLT_E ‘1’, then the device state will transit to a SLEEP state and the LED sink driver will be turned off.
This bit is auto-cleared after readout or in case TEMP goes down below TEMPHYS, but if the detection condition is still valid after readout, this bit will be set again immediately unless the condition is removed.
</t>
    </r>
    <r>
      <rPr>
        <sz val="8"/>
        <color rgb="FFFF0000"/>
        <rFont val="맑은 고딕"/>
        <family val="3"/>
        <charset val="129"/>
        <scheme val="minor"/>
      </rPr>
      <t xml:space="preserve">The TEMP update period is performed at a period of 31.25khz if the EVENT_CYC is set to 0, and 62,5khz if the EVENT_CYC is set to 1. However, if VEXT_MON_E is set to 1, the update duration will be repeated
every 36 EVENT_CYC cycles.
</t>
    </r>
    <r>
      <rPr>
        <sz val="8"/>
        <rFont val="맑은 고딕"/>
        <family val="3"/>
        <charset val="129"/>
        <scheme val="minor"/>
      </rPr>
      <t xml:space="preserve">
UV_FLT:  
Undervoltage fault flag is raised if the detection condition, V</t>
    </r>
    <r>
      <rPr>
        <vertAlign val="subscript"/>
        <sz val="8"/>
        <rFont val="맑은 고딕"/>
        <family val="3"/>
        <charset val="129"/>
        <scheme val="minor"/>
      </rPr>
      <t>DD</t>
    </r>
    <r>
      <rPr>
        <sz val="8"/>
        <rFont val="맑은 고딕"/>
        <family val="3"/>
        <charset val="129"/>
        <scheme val="minor"/>
      </rPr>
      <t xml:space="preserve"> &lt; V</t>
    </r>
    <r>
      <rPr>
        <vertAlign val="subscript"/>
        <sz val="8"/>
        <rFont val="맑은 고딕"/>
        <family val="3"/>
        <charset val="129"/>
        <scheme val="minor"/>
      </rPr>
      <t>UVLO</t>
    </r>
    <r>
      <rPr>
        <sz val="8"/>
        <rFont val="맑은 고딕"/>
        <family val="3"/>
        <charset val="129"/>
        <scheme val="minor"/>
      </rPr>
      <t xml:space="preserve"> (configurable with UV_LVL), </t>
    </r>
    <r>
      <rPr>
        <sz val="8"/>
        <color rgb="FFFF0000"/>
        <rFont val="맑은 고딕"/>
        <family val="3"/>
        <charset val="129"/>
        <scheme val="minor"/>
      </rPr>
      <t>continues for 5 consecutive EVENT_CYC cycles.</t>
    </r>
    <r>
      <rPr>
        <sz val="8"/>
        <rFont val="맑은 고딕"/>
        <family val="3"/>
        <charset val="129"/>
        <scheme val="minor"/>
      </rPr>
      <t xml:space="preserve">
If the event flag is raised under UV_FLT_E ‘1’, then the device state will transit to a SLEEP state and the LED sink driver will be turned off.
This bit is auto-cleared after readout, but if the detection condition is still valid after readout, this bit will be set again immediately unless the condition is removed.
</t>
    </r>
    <r>
      <rPr>
        <sz val="8"/>
        <rFont val="맑은 고딕"/>
        <family val="3"/>
        <charset val="129"/>
      </rPr>
      <t>※</t>
    </r>
    <r>
      <rPr>
        <sz val="9.6"/>
        <rFont val="맑은 고딕"/>
        <family val="3"/>
        <charset val="129"/>
      </rPr>
      <t xml:space="preserve"> </t>
    </r>
    <r>
      <rPr>
        <sz val="8"/>
        <rFont val="맑은 고딕"/>
        <family val="3"/>
        <charset val="129"/>
        <scheme val="minor"/>
      </rPr>
      <t>EVENT_CYC will be deactivated in deepsleep mode (working in active state and sleep;  0: 31.25khz (32us),  1: 62.5khz (16us)
CRC_FLT: CRC fault flag is raised if CRC is wrong under CRC_E ‘1’, and auto-cleared after readout.
COM_FLT: Communication fault flag is raised if any communication error is occurred, and auto-cleared after readout. 
If the fault flag is raised under COM_FLT_E ‘1’, then the device state will transit to a SLEEP state and the LED sink driver will be turned off.</t>
    </r>
    <phoneticPr fontId="1" type="noConversion"/>
  </si>
  <si>
    <t>This determines the max current value of the output sink driver.
4'b0000:  1.44mA
4'b0001:  2.87mA
4'b0010:  4.31mA
4'b0011:  5.75mA
4'b0100:  7.18mA
4'b0101:  8.62mA
4'b0110: 10.05mA
4'b0111: 11.48mA
4'b1000: 12.92mA
4'b1001: 14.35mA 
4'b1010: 15.78mA
4'b1011: 17.21mA
4'b1100: 18.65mA
4'b1101: 20.08mA
4'b1110: 21.51mA
4'b1111: 22.94mA</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</si>
</sst>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맑은 고딕"/>
      <family val="2"/>
      <charset val="129"/>
      <scheme val="minor"/>
    </font>
    <font>
      <sz val="8"/>
      <name val="맑은 고딕"/>
      <family val="2"/>
      <charset val="129"/>
      <scheme val="minor"/>
    </font>
    <font>
      <sz val="8"/>
      <color theme="1"/>
      <name val="Arial"/>
      <family val="2"/>
    </font>
    <font>
      <sz val="8"/>
      <name val="맑은 고딕"/>
      <family val="3"/>
      <charset val="129"/>
      <scheme val="minor"/>
    </font>
    <font>
      <sz val="11"/>
      <color theme="1"/>
      <name val="맑은 고딕"/>
      <family val="2"/>
      <charset val="129"/>
      <scheme val="minor"/>
    </font>
    <font>
      <sz val="8"/>
      <name val="Arial"/>
      <family val="2"/>
    </font>
    <font>
      <strike/>
      <sz val="8"/>
      <name val="맑은 고딕"/>
      <family val="3"/>
      <charset val="129"/>
      <scheme val="minor"/>
    </font>
    <font>
      <sz val="11"/>
      <name val="맑은 고딕"/>
      <family val="2"/>
      <charset val="129"/>
      <scheme val="minor"/>
    </font>
    <font>
      <b/>
      <sz val="8"/>
      <name val="Arial"/>
      <family val="2"/>
    </font>
    <font>
      <b/>
      <sz val="8"/>
      <name val="맑은 고딕"/>
      <family val="3"/>
      <charset val="129"/>
      <scheme val="minor"/>
    </font>
    <font>
      <vertAlign val="subscript"/>
      <sz val="8"/>
      <name val="맑은 고딕"/>
      <family val="3"/>
      <charset val="129"/>
      <scheme val="minor"/>
    </font>
    <font>
      <sz val="8"/>
      <name val="맑은 고딕"/>
      <family val="3"/>
      <charset val="129"/>
    </font>
    <font>
      <sz val="11"/>
      <name val="맑은 고딕"/>
      <family val="3"/>
      <charset val="129"/>
      <scheme val="minor"/>
    </font>
    <font>
      <sz val="9.6"/>
      <name val="맑은 고딕"/>
      <family val="3"/>
      <charset val="129"/>
    </font>
    <font>
      <sz val="9"/>
      <name val="Arial"/>
      <family val="2"/>
    </font>
    <font>
      <sz val="8"/>
      <color rgb="FFFF00FF"/>
      <name val="Arial"/>
      <family val="2"/>
    </font>
    <font>
      <sz val="8"/>
      <color rgb="FFFF0000"/>
      <name val="맑은 고딕"/>
      <family val="3"/>
      <charset val="129"/>
      <scheme val="minor"/>
    </font>
    <font>
      <sz val="9"/>
      <color theme="0"/>
      <name val="Arial"/>
      <family val="2"/>
    </font>
    <font>
      <sz val="9"/>
      <color theme="0"/>
      <name val="맑은 고딕"/>
      <family val="3"/>
      <charset val="129"/>
      <scheme val="minor"/>
    </font>
  </fonts>
  <fills count="17">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theme="9" tint="0.39997558519241921"/>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1" tint="0.249977111117893"/>
        <bgColor indexed="64"/>
      </patternFill>
    </fill>
    <fill>
      <patternFill patternType="solid">
        <fgColor theme="0" tint="-0.34998626667073579"/>
        <bgColor indexed="64"/>
      </patternFill>
    </fill>
    <fill>
      <patternFill patternType="solid">
        <fgColor rgb="FF66FF99"/>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0" tint="-4.9989318521683403E-2"/>
        <bgColor indexed="64"/>
      </patternFill>
    </fill>
    <fill>
      <patternFill patternType="solid">
        <fgColor theme="0"/>
        <bgColor indexed="64"/>
      </patternFill>
    </fill>
    <fill>
      <patternFill patternType="solid">
        <fgColor theme="5" tint="-0.249977111117893"/>
        <bgColor indexed="64"/>
      </patternFill>
    </fill>
  </fills>
  <borders count="27">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2">
    <xf numFmtId="0" fontId="0" fillId="0" borderId="0">
      <alignment vertical="center"/>
    </xf>
    <xf numFmtId="0" fontId="4" fillId="0" borderId="0">
      <alignment vertical="center"/>
    </xf>
  </cellStyleXfs>
  <cellXfs count="210">
    <xf numFmtId="0" fontId="0" fillId="0" borderId="0" xfId="0">
      <alignment vertical="center"/>
    </xf>
    <xf numFmtId="0" fontId="0" fillId="2" borderId="0" xfId="0" applyFill="1" applyAlignment="1">
      <alignment horizontal="center" vertical="center"/>
    </xf>
    <xf numFmtId="0" fontId="0" fillId="0" borderId="0" xfId="0" applyAlignment="1">
      <alignment horizontal="center" vertical="center"/>
    </xf>
    <xf numFmtId="0" fontId="0" fillId="3" borderId="0" xfId="0" applyFill="1" applyAlignment="1">
      <alignment horizontal="center" vertical="center"/>
    </xf>
    <xf numFmtId="0" fontId="0" fillId="0" borderId="0" xfId="0" applyAlignment="1">
      <alignment horizontal="center" vertical="center" wrapText="1"/>
    </xf>
    <xf numFmtId="0" fontId="0" fillId="2" borderId="0" xfId="0" applyFill="1" applyAlignment="1">
      <alignment horizontal="center" vertical="center" wrapText="1"/>
    </xf>
    <xf numFmtId="0" fontId="0" fillId="0" borderId="1" xfId="0" applyBorder="1" applyAlignment="1">
      <alignment horizontal="center" vertical="center" wrapText="1"/>
    </xf>
    <xf numFmtId="0" fontId="0" fillId="0" borderId="2" xfId="0" applyBorder="1" applyAlignment="1">
      <alignment horizontal="center" vertical="center"/>
    </xf>
    <xf numFmtId="0" fontId="0" fillId="0" borderId="2" xfId="0" applyBorder="1" applyAlignment="1">
      <alignment horizontal="center" vertical="center" wrapText="1"/>
    </xf>
    <xf numFmtId="0" fontId="0" fillId="0" borderId="2" xfId="0" quotePrefix="1" applyBorder="1" applyAlignment="1">
      <alignment horizontal="center" vertical="center" wrapText="1"/>
    </xf>
    <xf numFmtId="0" fontId="0" fillId="0" borderId="5" xfId="0" applyBorder="1" applyAlignment="1">
      <alignment horizontal="center" vertical="center"/>
    </xf>
    <xf numFmtId="0" fontId="0" fillId="0" borderId="5" xfId="0" quotePrefix="1" applyBorder="1" applyAlignment="1">
      <alignment horizontal="center" vertical="center" wrapText="1"/>
    </xf>
    <xf numFmtId="0" fontId="0" fillId="0" borderId="8" xfId="0" quotePrefix="1" applyBorder="1" applyAlignment="1">
      <alignment horizontal="center" vertical="center" wrapText="1"/>
    </xf>
    <xf numFmtId="0" fontId="0" fillId="0" borderId="8" xfId="0" applyBorder="1" applyAlignment="1">
      <alignment horizontal="center" vertical="center"/>
    </xf>
    <xf numFmtId="0" fontId="0" fillId="0" borderId="2" xfId="0" quotePrefix="1" applyBorder="1" applyAlignment="1">
      <alignment horizontal="center" vertical="center"/>
    </xf>
    <xf numFmtId="0" fontId="0" fillId="0" borderId="5" xfId="0" quotePrefix="1" applyBorder="1" applyAlignment="1">
      <alignment horizontal="center" vertical="center"/>
    </xf>
    <xf numFmtId="0" fontId="0" fillId="0" borderId="8" xfId="0" quotePrefix="1" applyBorder="1" applyAlignment="1">
      <alignment horizontal="center" vertical="center"/>
    </xf>
    <xf numFmtId="0" fontId="0" fillId="0" borderId="4" xfId="0" applyBorder="1" applyAlignment="1">
      <alignment horizontal="center" vertical="center" wrapText="1"/>
    </xf>
    <xf numFmtId="0" fontId="0" fillId="0" borderId="8" xfId="0" applyBorder="1" applyAlignment="1">
      <alignment horizontal="center" vertical="center" wrapText="1"/>
    </xf>
    <xf numFmtId="0" fontId="0" fillId="3" borderId="0" xfId="0" applyFill="1" applyAlignment="1">
      <alignment horizontal="center" vertical="center" wrapText="1"/>
    </xf>
    <xf numFmtId="0" fontId="0" fillId="3" borderId="0" xfId="0" applyFill="1">
      <alignment vertical="center"/>
    </xf>
    <xf numFmtId="0" fontId="0" fillId="2" borderId="0" xfId="0" applyFill="1">
      <alignment vertical="center"/>
    </xf>
    <xf numFmtId="0" fontId="0" fillId="2" borderId="1" xfId="0" applyFill="1" applyBorder="1">
      <alignment vertical="center"/>
    </xf>
    <xf numFmtId="0" fontId="0" fillId="2" borderId="2" xfId="0" applyFill="1" applyBorder="1">
      <alignment vertical="center"/>
    </xf>
    <xf numFmtId="0" fontId="0" fillId="0" borderId="4" xfId="0" applyBorder="1" applyAlignment="1">
      <alignment horizontal="center" vertical="center"/>
    </xf>
    <xf numFmtId="0" fontId="0" fillId="0" borderId="7" xfId="0" applyBorder="1" applyAlignment="1">
      <alignment horizontal="center" vertical="center"/>
    </xf>
    <xf numFmtId="0" fontId="0" fillId="0" borderId="9" xfId="0" applyBorder="1" applyAlignment="1">
      <alignment horizontal="center" vertical="center"/>
    </xf>
    <xf numFmtId="0" fontId="0" fillId="0" borderId="3" xfId="0" applyBorder="1" applyAlignment="1">
      <alignment horizontal="center" vertical="center"/>
    </xf>
    <xf numFmtId="0" fontId="0" fillId="0" borderId="1" xfId="0" applyBorder="1" applyAlignment="1">
      <alignment horizontal="center" vertical="center"/>
    </xf>
    <xf numFmtId="0" fontId="0" fillId="0" borderId="6"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5" xfId="0" applyBorder="1" applyAlignment="1">
      <alignment horizontal="center" vertical="center" wrapText="1"/>
    </xf>
    <xf numFmtId="0" fontId="0" fillId="0" borderId="0" xfId="0" quotePrefix="1" applyAlignment="1">
      <alignment horizontal="center" vertical="center" wrapText="1"/>
    </xf>
    <xf numFmtId="0" fontId="0" fillId="0" borderId="15" xfId="0" applyBorder="1" applyAlignment="1">
      <alignment horizontal="center" vertical="center"/>
    </xf>
    <xf numFmtId="0" fontId="0" fillId="0" borderId="14" xfId="0" applyBorder="1" applyAlignment="1">
      <alignment horizontal="center" vertical="center"/>
    </xf>
    <xf numFmtId="0" fontId="0" fillId="2" borderId="15" xfId="0" applyFill="1" applyBorder="1" applyAlignment="1">
      <alignment horizontal="center" vertical="center"/>
    </xf>
    <xf numFmtId="0" fontId="0" fillId="0" borderId="12" xfId="0" applyBorder="1" applyAlignment="1">
      <alignment horizontal="center" vertical="center"/>
    </xf>
    <xf numFmtId="0" fontId="0" fillId="2" borderId="5" xfId="0" applyFill="1" applyBorder="1" applyAlignment="1">
      <alignment horizontal="center" vertical="center"/>
    </xf>
    <xf numFmtId="0" fontId="0" fillId="2" borderId="6" xfId="0" applyFill="1" applyBorder="1" applyAlignment="1">
      <alignment horizontal="center" vertical="center"/>
    </xf>
    <xf numFmtId="0" fontId="5" fillId="0" borderId="15" xfId="0" applyFont="1" applyBorder="1" applyAlignment="1">
      <alignment horizontal="center" vertical="center" wrapText="1"/>
    </xf>
    <xf numFmtId="0" fontId="5" fillId="2" borderId="15" xfId="0" applyFont="1" applyFill="1" applyBorder="1" applyAlignment="1">
      <alignment horizontal="center" vertical="center" wrapText="1"/>
    </xf>
    <xf numFmtId="0" fontId="7" fillId="0" borderId="0" xfId="0" applyFont="1" applyAlignment="1">
      <alignment horizontal="center" vertical="center" wrapText="1"/>
    </xf>
    <xf numFmtId="0" fontId="7" fillId="0" borderId="0" xfId="0" applyFont="1" applyAlignment="1">
      <alignment vertical="center" wrapText="1"/>
    </xf>
    <xf numFmtId="0" fontId="5" fillId="0" borderId="0" xfId="0" applyFont="1" applyAlignment="1">
      <alignment vertical="center" wrapText="1"/>
    </xf>
    <xf numFmtId="0" fontId="5" fillId="0" borderId="0" xfId="0" applyFont="1" applyAlignment="1">
      <alignment horizontal="left" vertical="center" wrapText="1"/>
    </xf>
    <xf numFmtId="0" fontId="3" fillId="4" borderId="15" xfId="0" applyFont="1" applyFill="1" applyBorder="1" applyAlignment="1">
      <alignment horizontal="center" vertical="center" wrapText="1"/>
    </xf>
    <xf numFmtId="0" fontId="5" fillId="2" borderId="15" xfId="0" applyFont="1" applyFill="1" applyBorder="1" applyAlignment="1">
      <alignment vertical="center" wrapText="1"/>
    </xf>
    <xf numFmtId="0" fontId="3" fillId="0" borderId="15" xfId="0" applyFont="1" applyBorder="1" applyAlignment="1">
      <alignment horizontal="center" vertical="center" wrapText="1"/>
    </xf>
    <xf numFmtId="0" fontId="3" fillId="0" borderId="0" xfId="0" applyFont="1" applyAlignment="1">
      <alignment horizontal="left" vertical="center" wrapText="1"/>
    </xf>
    <xf numFmtId="0" fontId="3" fillId="4" borderId="15" xfId="0" applyFont="1" applyFill="1" applyBorder="1" applyAlignment="1">
      <alignment vertical="center" wrapText="1"/>
    </xf>
    <xf numFmtId="0" fontId="3" fillId="2" borderId="15" xfId="0" applyFont="1" applyFill="1" applyBorder="1" applyAlignment="1">
      <alignment vertical="center" wrapText="1"/>
    </xf>
    <xf numFmtId="0" fontId="3" fillId="0" borderId="15" xfId="0" applyFont="1" applyBorder="1" applyAlignment="1">
      <alignment vertical="center" wrapText="1"/>
    </xf>
    <xf numFmtId="0" fontId="3" fillId="2" borderId="14" xfId="0" applyFont="1" applyFill="1" applyBorder="1" applyAlignment="1">
      <alignment vertical="center" wrapText="1"/>
    </xf>
    <xf numFmtId="0" fontId="3" fillId="0" borderId="0" xfId="0" applyFont="1" applyAlignment="1">
      <alignment vertical="center" wrapText="1"/>
    </xf>
    <xf numFmtId="0" fontId="12" fillId="0" borderId="0" xfId="0" applyFont="1" applyAlignment="1">
      <alignment vertical="center" wrapText="1"/>
    </xf>
    <xf numFmtId="0" fontId="5" fillId="0" borderId="1" xfId="0" applyFont="1" applyBorder="1" applyAlignment="1">
      <alignment vertical="center" wrapText="1"/>
    </xf>
    <xf numFmtId="0" fontId="5" fillId="0" borderId="2" xfId="0" applyFont="1" applyBorder="1" applyAlignment="1">
      <alignment vertical="center" wrapText="1"/>
    </xf>
    <xf numFmtId="0" fontId="14" fillId="0" borderId="15" xfId="0" applyFont="1" applyBorder="1" applyAlignment="1">
      <alignment horizontal="center" vertical="center"/>
    </xf>
    <xf numFmtId="0" fontId="14" fillId="0" borderId="15" xfId="0" applyFont="1" applyBorder="1" applyAlignment="1">
      <alignment horizontal="center" vertical="center" wrapText="1"/>
    </xf>
    <xf numFmtId="0" fontId="14" fillId="11" borderId="15" xfId="0" quotePrefix="1" applyFont="1" applyFill="1" applyBorder="1" applyAlignment="1">
      <alignment horizontal="center" vertical="center"/>
    </xf>
    <xf numFmtId="0" fontId="14" fillId="0" borderId="15" xfId="0" quotePrefix="1" applyFont="1" applyBorder="1" applyAlignment="1">
      <alignment horizontal="center" vertical="center"/>
    </xf>
    <xf numFmtId="0" fontId="14" fillId="2" borderId="15" xfId="0" applyFont="1" applyFill="1" applyBorder="1" applyAlignment="1">
      <alignment horizontal="center" vertical="center" wrapText="1"/>
    </xf>
    <xf numFmtId="0" fontId="14" fillId="0" borderId="0" xfId="0" applyFont="1">
      <alignment vertical="center"/>
    </xf>
    <xf numFmtId="0" fontId="14" fillId="15" borderId="15" xfId="0" applyFont="1" applyFill="1" applyBorder="1" applyAlignment="1">
      <alignment horizontal="center" vertical="center" wrapText="1"/>
    </xf>
    <xf numFmtId="0" fontId="14" fillId="10" borderId="15" xfId="0" applyFont="1" applyFill="1" applyBorder="1" applyAlignment="1">
      <alignment horizontal="center" vertical="center"/>
    </xf>
    <xf numFmtId="0" fontId="14" fillId="10" borderId="15" xfId="0" quotePrefix="1" applyFont="1" applyFill="1" applyBorder="1" applyAlignment="1">
      <alignment horizontal="center" vertical="center" wrapText="1"/>
    </xf>
    <xf numFmtId="0" fontId="14" fillId="0" borderId="0" xfId="0" applyFont="1" applyAlignment="1">
      <alignment horizontal="center" vertical="center" wrapText="1"/>
    </xf>
    <xf numFmtId="0" fontId="14" fillId="0" borderId="0" xfId="0" applyFont="1" applyAlignment="1">
      <alignment horizontal="center" vertical="center"/>
    </xf>
    <xf numFmtId="0" fontId="14" fillId="0" borderId="0" xfId="0" applyFont="1" applyAlignment="1">
      <alignment horizontal="left" vertical="center"/>
    </xf>
    <xf numFmtId="0" fontId="14" fillId="0" borderId="15" xfId="1" applyFont="1" applyBorder="1" applyAlignment="1">
      <alignment horizontal="center" vertical="center"/>
    </xf>
    <xf numFmtId="0" fontId="14" fillId="13" borderId="15" xfId="0" applyFont="1" applyFill="1" applyBorder="1" applyAlignment="1">
      <alignment horizontal="center" vertical="center" wrapText="1"/>
    </xf>
    <xf numFmtId="0" fontId="14" fillId="11" borderId="15" xfId="1" quotePrefix="1" applyFont="1" applyFill="1" applyBorder="1" applyAlignment="1">
      <alignment horizontal="center" vertical="center"/>
    </xf>
    <xf numFmtId="0" fontId="14" fillId="0" borderId="15" xfId="0" applyFont="1" applyBorder="1">
      <alignment vertical="center"/>
    </xf>
    <xf numFmtId="0" fontId="3" fillId="14" borderId="15" xfId="0" applyFont="1" applyFill="1" applyBorder="1" applyAlignment="1">
      <alignment horizontal="center" vertical="center" wrapText="1"/>
    </xf>
    <xf numFmtId="0" fontId="5" fillId="0" borderId="1" xfId="0" applyFont="1" applyBorder="1" applyAlignment="1">
      <alignment horizontal="center" vertical="center" wrapText="1"/>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5" fillId="0" borderId="0" xfId="0" applyFont="1" applyAlignment="1">
      <alignment horizontal="center" vertical="center" wrapText="1"/>
    </xf>
    <xf numFmtId="0" fontId="14" fillId="2" borderId="15" xfId="0" applyFont="1" applyFill="1" applyBorder="1" applyAlignment="1">
      <alignment horizontal="center" vertical="center"/>
    </xf>
    <xf numFmtId="0" fontId="14" fillId="9" borderId="15" xfId="0" applyFont="1" applyFill="1" applyBorder="1" applyAlignment="1">
      <alignment horizontal="center" vertical="center"/>
    </xf>
    <xf numFmtId="0" fontId="1" fillId="16" borderId="0" xfId="0" applyFont="1" applyFill="1" applyAlignment="1">
      <alignment horizontal="left" vertical="center" wrapText="1"/>
    </xf>
    <xf numFmtId="0" fontId="7" fillId="16" borderId="0" xfId="0" applyFont="1" applyFill="1" applyAlignment="1">
      <alignment horizontal="center" vertical="center" wrapText="1"/>
    </xf>
    <xf numFmtId="0" fontId="7" fillId="16" borderId="0" xfId="0" applyFont="1" applyFill="1" applyAlignment="1">
      <alignment vertical="center" wrapText="1"/>
    </xf>
    <xf numFmtId="0" fontId="5" fillId="16" borderId="0" xfId="0" applyFont="1" applyFill="1" applyAlignment="1">
      <alignment vertical="center" wrapText="1"/>
    </xf>
    <xf numFmtId="0" fontId="5" fillId="16" borderId="0" xfId="0" applyFont="1" applyFill="1" applyAlignment="1">
      <alignment horizontal="left" vertical="center" wrapText="1"/>
    </xf>
    <xf numFmtId="0" fontId="17" fillId="9" borderId="15" xfId="0" applyFont="1" applyFill="1" applyBorder="1" applyAlignment="1">
      <alignment horizontal="center" vertical="center"/>
    </xf>
    <xf numFmtId="0" fontId="17" fillId="9" borderId="15" xfId="0" applyFont="1" applyFill="1" applyBorder="1" applyAlignment="1">
      <alignment horizontal="center" vertical="center" wrapText="1"/>
    </xf>
    <xf numFmtId="0" fontId="17" fillId="9" borderId="0" xfId="0" applyFont="1" applyFill="1" applyAlignment="1">
      <alignment horizontal="center" vertical="center"/>
    </xf>
    <xf numFmtId="0" fontId="17" fillId="9" borderId="0" xfId="0" applyFont="1" applyFill="1" applyAlignment="1">
      <alignment horizontal="center" vertical="center" wrapText="1"/>
    </xf>
    <xf numFmtId="0" fontId="0" fillId="0" borderId="0" xfId="0" quotePrefix="1" applyAlignment="1">
      <alignment horizontal="center" vertical="center" wrapText="1"/>
    </xf>
    <xf numFmtId="0" fontId="0" fillId="0" borderId="8" xfId="0" quotePrefix="1" applyBorder="1" applyAlignment="1">
      <alignment horizontal="center" vertical="center" wrapText="1"/>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0" fillId="0" borderId="14" xfId="0" applyBorder="1" applyAlignment="1">
      <alignment horizontal="center" vertical="center" wrapText="1"/>
    </xf>
    <xf numFmtId="0" fontId="0" fillId="0" borderId="10" xfId="0" applyBorder="1" applyAlignment="1">
      <alignment horizontal="center" vertical="center"/>
    </xf>
    <xf numFmtId="0" fontId="0" fillId="0" borderId="7" xfId="0" applyBorder="1" applyAlignment="1">
      <alignment horizontal="center" vertical="center"/>
    </xf>
    <xf numFmtId="0" fontId="0" fillId="0" borderId="4" xfId="0" applyBorder="1" applyAlignment="1">
      <alignment horizontal="center" vertical="center" wrapText="1"/>
    </xf>
    <xf numFmtId="0" fontId="0" fillId="0" borderId="7" xfId="0" applyBorder="1" applyAlignment="1">
      <alignment horizontal="center" vertical="center" wrapText="1"/>
    </xf>
    <xf numFmtId="0" fontId="0" fillId="0" borderId="4" xfId="0" applyBorder="1" applyAlignment="1">
      <alignment horizontal="center" vertical="center"/>
    </xf>
    <xf numFmtId="0" fontId="0" fillId="0" borderId="5" xfId="0" quotePrefix="1" applyBorder="1" applyAlignment="1">
      <alignment horizontal="center" vertical="center" wrapText="1"/>
    </xf>
    <xf numFmtId="0" fontId="0" fillId="2" borderId="0" xfId="0" applyFill="1" applyAlignment="1">
      <alignment horizontal="center" vertical="center"/>
    </xf>
    <xf numFmtId="0" fontId="0" fillId="3" borderId="0" xfId="0" applyFill="1" applyAlignment="1">
      <alignment horizontal="center" vertical="center"/>
    </xf>
    <xf numFmtId="0" fontId="0" fillId="0" borderId="5" xfId="0" applyBorder="1" applyAlignment="1">
      <alignment horizontal="center" vertical="center"/>
    </xf>
    <xf numFmtId="0" fontId="0" fillId="0" borderId="8" xfId="0" applyBorder="1" applyAlignment="1">
      <alignment horizontal="center" vertical="center"/>
    </xf>
    <xf numFmtId="0" fontId="0" fillId="0" borderId="5" xfId="0" quotePrefix="1" applyBorder="1" applyAlignment="1">
      <alignment horizontal="center" vertical="center"/>
    </xf>
    <xf numFmtId="0" fontId="0" fillId="0" borderId="8" xfId="0" quotePrefix="1" applyBorder="1" applyAlignment="1">
      <alignment horizontal="center" vertical="center"/>
    </xf>
    <xf numFmtId="0" fontId="0" fillId="8" borderId="15" xfId="0" applyFill="1" applyBorder="1" applyAlignment="1">
      <alignment horizontal="center" vertical="center"/>
    </xf>
    <xf numFmtId="0" fontId="0" fillId="0" borderId="15" xfId="0" applyBorder="1"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5" borderId="15" xfId="0" applyFill="1" applyBorder="1" applyAlignment="1">
      <alignment horizontal="center" vertical="center"/>
    </xf>
    <xf numFmtId="0" fontId="0" fillId="7" borderId="15" xfId="0" applyFill="1" applyBorder="1" applyAlignment="1">
      <alignment horizontal="center" vertical="center"/>
    </xf>
    <xf numFmtId="0" fontId="0" fillId="3" borderId="1" xfId="0" applyFill="1" applyBorder="1" applyAlignment="1">
      <alignment horizontal="center" vertical="center"/>
    </xf>
    <xf numFmtId="0" fontId="0" fillId="3" borderId="2" xfId="0" applyFill="1" applyBorder="1" applyAlignment="1">
      <alignment horizontal="center" vertical="center"/>
    </xf>
    <xf numFmtId="0" fontId="0" fillId="3" borderId="3" xfId="0" applyFill="1"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6" xfId="0" applyBorder="1" applyAlignment="1">
      <alignment horizontal="center" vertical="center"/>
    </xf>
    <xf numFmtId="0" fontId="0" fillId="3" borderId="15" xfId="0" applyFill="1" applyBorder="1" applyAlignment="1">
      <alignment horizontal="center" vertical="center"/>
    </xf>
    <xf numFmtId="0" fontId="0" fillId="0" borderId="15" xfId="0" applyBorder="1" applyAlignment="1">
      <alignment horizontal="center" vertical="center" wrapText="1"/>
    </xf>
    <xf numFmtId="0" fontId="0" fillId="0" borderId="1" xfId="0"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6" borderId="15" xfId="0" applyFill="1" applyBorder="1" applyAlignment="1">
      <alignment horizontal="center" vertical="center"/>
    </xf>
    <xf numFmtId="0" fontId="0" fillId="0" borderId="0" xfId="0" applyAlignment="1">
      <alignment horizontal="center" vertical="center"/>
    </xf>
    <xf numFmtId="0" fontId="0" fillId="0" borderId="11" xfId="0" applyBorder="1" applyAlignment="1">
      <alignment horizontal="center" vertical="center"/>
    </xf>
    <xf numFmtId="0" fontId="0" fillId="0" borderId="9" xfId="0" applyBorder="1" applyAlignment="1">
      <alignment horizontal="center" vertical="center"/>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0" fillId="0" borderId="0" xfId="0" applyAlignment="1">
      <alignment horizontal="center" vertical="center" wrapText="1"/>
    </xf>
    <xf numFmtId="0" fontId="0" fillId="0" borderId="11" xfId="0" applyBorder="1" applyAlignment="1">
      <alignment horizontal="center" vertical="center" wrapText="1"/>
    </xf>
    <xf numFmtId="0" fontId="0" fillId="2" borderId="15" xfId="0" applyFill="1" applyBorder="1" applyAlignment="1">
      <alignment horizontal="center" vertical="center"/>
    </xf>
    <xf numFmtId="0" fontId="0" fillId="12" borderId="15" xfId="0" applyFill="1" applyBorder="1" applyAlignment="1">
      <alignment horizontal="center" vertical="center"/>
    </xf>
    <xf numFmtId="0" fontId="0" fillId="8" borderId="1" xfId="0" applyFill="1" applyBorder="1" applyAlignment="1">
      <alignment horizontal="center" vertical="center"/>
    </xf>
    <xf numFmtId="0" fontId="0" fillId="8" borderId="2" xfId="0" applyFill="1" applyBorder="1" applyAlignment="1">
      <alignment horizontal="center" vertical="center"/>
    </xf>
    <xf numFmtId="0" fontId="0" fillId="8" borderId="3" xfId="0" applyFill="1" applyBorder="1" applyAlignment="1">
      <alignment horizontal="center" vertical="center"/>
    </xf>
    <xf numFmtId="0" fontId="0" fillId="2" borderId="5" xfId="0" applyFill="1" applyBorder="1" applyAlignment="1">
      <alignment horizontal="center" vertical="center"/>
    </xf>
    <xf numFmtId="0" fontId="0" fillId="2" borderId="6" xfId="0" applyFill="1" applyBorder="1" applyAlignment="1">
      <alignment horizontal="center" vertical="center"/>
    </xf>
    <xf numFmtId="0" fontId="0" fillId="2" borderId="1" xfId="0" applyFill="1" applyBorder="1" applyAlignment="1">
      <alignment horizontal="center" vertical="center" wrapText="1"/>
    </xf>
    <xf numFmtId="0" fontId="0" fillId="2" borderId="2" xfId="0" applyFill="1" applyBorder="1" applyAlignment="1">
      <alignment horizontal="center" vertical="center"/>
    </xf>
    <xf numFmtId="0" fontId="14" fillId="2" borderId="15" xfId="0" applyFont="1" applyFill="1" applyBorder="1" applyAlignment="1">
      <alignment horizontal="center" vertical="center"/>
    </xf>
    <xf numFmtId="0" fontId="14" fillId="2" borderId="15" xfId="0" applyFont="1" applyFill="1" applyBorder="1" applyAlignment="1">
      <alignment horizontal="center" vertical="center" wrapText="1"/>
    </xf>
    <xf numFmtId="0" fontId="14" fillId="0" borderId="15" xfId="0" applyFont="1" applyBorder="1" applyAlignment="1">
      <alignment horizontal="left" vertical="center"/>
    </xf>
    <xf numFmtId="0" fontId="14" fillId="0" borderId="15" xfId="0" applyFont="1" applyBorder="1" applyAlignment="1">
      <alignment horizontal="center" vertical="center" wrapText="1"/>
    </xf>
    <xf numFmtId="0" fontId="17" fillId="9" borderId="1" xfId="0" applyFont="1" applyFill="1" applyBorder="1" applyAlignment="1">
      <alignment horizontal="center" vertical="center"/>
    </xf>
    <xf numFmtId="0" fontId="17" fillId="9" borderId="2" xfId="0" applyFont="1" applyFill="1" applyBorder="1" applyAlignment="1">
      <alignment horizontal="center" vertical="center"/>
    </xf>
    <xf numFmtId="0" fontId="17" fillId="9" borderId="3" xfId="0" applyFont="1" applyFill="1" applyBorder="1" applyAlignment="1">
      <alignment horizontal="center" vertical="center"/>
    </xf>
    <xf numFmtId="0" fontId="18" fillId="9" borderId="8" xfId="0" applyFont="1" applyFill="1" applyBorder="1" applyAlignment="1">
      <alignment horizontal="center"/>
    </xf>
    <xf numFmtId="0" fontId="17" fillId="9" borderId="15" xfId="0" applyFont="1" applyFill="1" applyBorder="1" applyAlignment="1">
      <alignment horizontal="center" vertical="center"/>
    </xf>
    <xf numFmtId="0" fontId="17" fillId="9" borderId="15" xfId="0" applyFont="1" applyFill="1" applyBorder="1" applyAlignment="1">
      <alignment horizontal="center" vertical="center" wrapText="1"/>
    </xf>
    <xf numFmtId="0" fontId="14" fillId="0" borderId="12" xfId="0" applyFont="1" applyBorder="1" applyAlignment="1">
      <alignment horizontal="center" vertical="center"/>
    </xf>
    <xf numFmtId="0" fontId="14" fillId="0" borderId="14" xfId="0" applyFont="1" applyBorder="1" applyAlignment="1">
      <alignment horizontal="center" vertical="center"/>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1" xfId="0" applyFont="1" applyBorder="1" applyAlignment="1">
      <alignment horizontal="left" vertical="center" wrapText="1"/>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0" borderId="15" xfId="0" applyFont="1" applyBorder="1" applyAlignment="1">
      <alignment horizontal="center" vertical="center" wrapText="1"/>
    </xf>
    <xf numFmtId="0" fontId="3" fillId="0" borderId="15" xfId="0" applyFont="1" applyBorder="1" applyAlignment="1">
      <alignment horizontal="left" vertical="top" wrapText="1"/>
    </xf>
    <xf numFmtId="0" fontId="3" fillId="0" borderId="7" xfId="0" applyFont="1" applyBorder="1" applyAlignment="1">
      <alignment horizontal="left" vertical="center" wrapText="1"/>
    </xf>
    <xf numFmtId="0" fontId="3" fillId="0" borderId="8" xfId="0" applyFont="1" applyBorder="1" applyAlignment="1">
      <alignment horizontal="left" vertical="center" wrapText="1"/>
    </xf>
    <xf numFmtId="0" fontId="3" fillId="0" borderId="9" xfId="0" applyFont="1" applyBorder="1" applyAlignment="1">
      <alignment horizontal="left" vertical="center" wrapText="1"/>
    </xf>
    <xf numFmtId="0" fontId="3" fillId="0" borderId="15" xfId="0" applyFont="1" applyBorder="1" applyAlignment="1">
      <alignment horizontal="left" vertical="center" wrapText="1"/>
    </xf>
    <xf numFmtId="0" fontId="3" fillId="0" borderId="1" xfId="0" applyFont="1" applyBorder="1" applyAlignment="1">
      <alignment horizontal="left" vertical="top" wrapText="1"/>
    </xf>
    <xf numFmtId="0" fontId="9" fillId="2" borderId="16" xfId="0" applyFont="1" applyFill="1" applyBorder="1" applyAlignment="1">
      <alignment horizontal="left" vertical="center" wrapText="1"/>
    </xf>
    <xf numFmtId="0" fontId="9" fillId="2" borderId="24" xfId="0" applyFont="1" applyFill="1" applyBorder="1" applyAlignment="1">
      <alignment horizontal="left" vertical="center" wrapText="1"/>
    </xf>
    <xf numFmtId="0" fontId="3" fillId="0" borderId="22" xfId="0" applyFont="1" applyBorder="1" applyAlignment="1">
      <alignment horizontal="left" vertical="center" wrapText="1"/>
    </xf>
    <xf numFmtId="0" fontId="3" fillId="0" borderId="25" xfId="0" applyFont="1" applyBorder="1" applyAlignment="1">
      <alignment horizontal="left" vertical="center" wrapText="1"/>
    </xf>
    <xf numFmtId="0" fontId="3" fillId="0" borderId="19" xfId="0" applyFont="1" applyBorder="1" applyAlignment="1">
      <alignment horizontal="left" vertical="center" wrapText="1"/>
    </xf>
    <xf numFmtId="0" fontId="3" fillId="0" borderId="26" xfId="0" applyFont="1" applyBorder="1" applyAlignment="1">
      <alignment horizontal="left" vertical="center" wrapText="1"/>
    </xf>
    <xf numFmtId="0" fontId="3" fillId="0" borderId="2" xfId="0" applyFont="1" applyBorder="1" applyAlignment="1">
      <alignment horizontal="left" vertical="top" wrapText="1"/>
    </xf>
    <xf numFmtId="0" fontId="3" fillId="0" borderId="3" xfId="0" applyFont="1" applyBorder="1" applyAlignment="1">
      <alignment horizontal="left" vertical="top" wrapText="1"/>
    </xf>
    <xf numFmtId="0" fontId="14" fillId="13" borderId="15" xfId="1" applyFont="1" applyFill="1" applyBorder="1" applyAlignment="1">
      <alignment horizontal="center" vertical="center" wrapText="1"/>
    </xf>
    <xf numFmtId="0" fontId="14" fillId="13" borderId="1" xfId="1" applyFont="1" applyFill="1" applyBorder="1" applyAlignment="1">
      <alignment horizontal="center" vertical="center" wrapText="1"/>
    </xf>
    <xf numFmtId="0" fontId="14" fillId="13" borderId="2" xfId="1" applyFont="1" applyFill="1" applyBorder="1" applyAlignment="1">
      <alignment horizontal="center" vertical="center" wrapText="1"/>
    </xf>
    <xf numFmtId="0" fontId="14" fillId="13" borderId="3" xfId="1" applyFont="1" applyFill="1" applyBorder="1" applyAlignment="1">
      <alignment horizontal="center" vertical="center" wrapText="1"/>
    </xf>
    <xf numFmtId="0" fontId="14" fillId="13" borderId="1" xfId="0" applyFont="1" applyFill="1" applyBorder="1" applyAlignment="1">
      <alignment horizontal="center" vertical="center" wrapText="1"/>
    </xf>
    <xf numFmtId="0" fontId="14" fillId="13" borderId="2" xfId="0" applyFont="1" applyFill="1" applyBorder="1" applyAlignment="1">
      <alignment horizontal="center" vertical="center" wrapText="1"/>
    </xf>
    <xf numFmtId="0" fontId="14" fillId="13" borderId="3" xfId="0" applyFont="1" applyFill="1" applyBorder="1" applyAlignment="1">
      <alignment horizontal="center" vertical="center" wrapText="1"/>
    </xf>
    <xf numFmtId="0" fontId="14" fillId="0" borderId="1" xfId="0" applyFont="1" applyBorder="1" applyAlignment="1">
      <alignment horizontal="center" vertical="center" wrapText="1"/>
    </xf>
    <xf numFmtId="0" fontId="14" fillId="0" borderId="2" xfId="0" applyFont="1" applyBorder="1" applyAlignment="1">
      <alignment horizontal="center" vertical="center" wrapText="1"/>
    </xf>
    <xf numFmtId="0" fontId="14" fillId="0" borderId="3" xfId="0" applyFont="1" applyBorder="1" applyAlignment="1">
      <alignment horizontal="center" vertical="center" wrapText="1"/>
    </xf>
    <xf numFmtId="0" fontId="14" fillId="13" borderId="1" xfId="0" applyFont="1" applyFill="1" applyBorder="1" applyAlignment="1">
      <alignment horizontal="center" vertical="center"/>
    </xf>
    <xf numFmtId="0" fontId="14" fillId="13" borderId="3" xfId="0" applyFont="1" applyFill="1" applyBorder="1" applyAlignment="1">
      <alignment horizontal="center" vertical="center"/>
    </xf>
    <xf numFmtId="0" fontId="5" fillId="0" borderId="1" xfId="0" applyFont="1" applyBorder="1" applyAlignment="1">
      <alignment horizontal="left" vertical="center" wrapText="1"/>
    </xf>
    <xf numFmtId="0" fontId="5" fillId="0" borderId="2" xfId="0" applyFont="1" applyBorder="1" applyAlignment="1">
      <alignment horizontal="left" vertical="center" wrapText="1"/>
    </xf>
    <xf numFmtId="0" fontId="5" fillId="0" borderId="3" xfId="0" applyFont="1" applyBorder="1" applyAlignment="1">
      <alignment horizontal="left" vertical="center" wrapText="1"/>
    </xf>
    <xf numFmtId="0" fontId="5" fillId="0" borderId="1" xfId="0" applyFont="1" applyBorder="1" applyAlignment="1">
      <alignment horizontal="center" vertical="center" wrapText="1"/>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5" fillId="0" borderId="1" xfId="0" applyFont="1" applyBorder="1" applyAlignment="1">
      <alignment horizontal="left" vertical="top" wrapText="1"/>
    </xf>
    <xf numFmtId="0" fontId="5" fillId="0" borderId="2" xfId="0" applyFont="1" applyBorder="1" applyAlignment="1">
      <alignment horizontal="left" vertical="top" wrapText="1"/>
    </xf>
    <xf numFmtId="0" fontId="5" fillId="0" borderId="3" xfId="0" applyFont="1" applyBorder="1" applyAlignment="1">
      <alignment horizontal="left" vertical="top" wrapText="1"/>
    </xf>
    <xf numFmtId="0" fontId="5" fillId="0" borderId="15" xfId="0" applyFont="1" applyBorder="1" applyAlignment="1">
      <alignment horizontal="center" vertical="center" wrapText="1"/>
    </xf>
    <xf numFmtId="0" fontId="5" fillId="0" borderId="15" xfId="0" applyFont="1" applyBorder="1" applyAlignment="1">
      <alignment horizontal="left" vertical="center" wrapText="1"/>
    </xf>
    <xf numFmtId="0" fontId="8" fillId="2" borderId="16" xfId="0" applyFont="1" applyFill="1" applyBorder="1" applyAlignment="1">
      <alignment horizontal="left" vertical="center" wrapText="1"/>
    </xf>
    <xf numFmtId="0" fontId="8" fillId="2" borderId="17" xfId="0" applyFont="1" applyFill="1" applyBorder="1" applyAlignment="1">
      <alignment horizontal="left" vertical="center" wrapText="1"/>
    </xf>
    <xf numFmtId="0" fontId="8" fillId="2" borderId="18" xfId="0" applyFont="1" applyFill="1" applyBorder="1" applyAlignment="1">
      <alignment horizontal="left" vertical="center" wrapText="1"/>
    </xf>
    <xf numFmtId="0" fontId="5" fillId="0" borderId="22" xfId="0" applyFont="1" applyBorder="1" applyAlignment="1">
      <alignment horizontal="left" vertical="center" wrapText="1"/>
    </xf>
    <xf numFmtId="0" fontId="5" fillId="0" borderId="23" xfId="0" applyFont="1" applyBorder="1" applyAlignment="1">
      <alignment horizontal="left" vertical="center" wrapText="1"/>
    </xf>
    <xf numFmtId="0" fontId="5" fillId="0" borderId="19" xfId="0" applyFont="1" applyBorder="1" applyAlignment="1">
      <alignment horizontal="left" vertical="center" wrapText="1"/>
    </xf>
    <xf numFmtId="0" fontId="5" fillId="0" borderId="20" xfId="0" applyFont="1" applyBorder="1" applyAlignment="1">
      <alignment horizontal="left" vertical="center" wrapText="1"/>
    </xf>
    <xf numFmtId="0" fontId="5" fillId="0" borderId="21" xfId="0" applyFont="1" applyBorder="1" applyAlignment="1">
      <alignment horizontal="left" vertical="center" wrapText="1"/>
    </xf>
  </cellXfs>
  <cellStyles count="2">
    <cellStyle name="표준" xfId="0" builtinId="0"/>
    <cellStyle name="표준 2" xfId="1" xr:uid="{978E7036-D27C-48CF-909A-1EE152691CFC}"/>
  </cellStyles>
  <dxfs count="4">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s>
  <tableStyles count="0" defaultTableStyle="TableStyleMedium2" defaultPivotStyle="PivotStyleLight16"/>
  <colors>
    <mruColors>
      <color rgb="FFFF00FF"/>
      <color rgb="FF0000FF"/>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292100</xdr:colOff>
      <xdr:row>12</xdr:row>
      <xdr:rowOff>114300</xdr:rowOff>
    </xdr:from>
    <xdr:to>
      <xdr:col>18</xdr:col>
      <xdr:colOff>349250</xdr:colOff>
      <xdr:row>39</xdr:row>
      <xdr:rowOff>96451</xdr:rowOff>
    </xdr:to>
    <xdr:grpSp>
      <xdr:nvGrpSpPr>
        <xdr:cNvPr id="36" name="그룹 35">
          <a:extLst>
            <a:ext uri="{FF2B5EF4-FFF2-40B4-BE49-F238E27FC236}">
              <a16:creationId xmlns:a16="http://schemas.microsoft.com/office/drawing/2014/main" id="{62057067-B661-E065-EABC-8F328F720F99}"/>
            </a:ext>
          </a:extLst>
        </xdr:cNvPr>
        <xdr:cNvGrpSpPr/>
      </xdr:nvGrpSpPr>
      <xdr:grpSpPr>
        <a:xfrm>
          <a:off x="292100" y="2686050"/>
          <a:ext cx="12401550" cy="5768589"/>
          <a:chOff x="292100" y="285750"/>
          <a:chExt cx="11944350" cy="5811451"/>
        </a:xfrm>
      </xdr:grpSpPr>
      <xdr:pic>
        <xdr:nvPicPr>
          <xdr:cNvPr id="2" name="그림 1">
            <a:extLst>
              <a:ext uri="{FF2B5EF4-FFF2-40B4-BE49-F238E27FC236}">
                <a16:creationId xmlns:a16="http://schemas.microsoft.com/office/drawing/2014/main" id="{F5D38A67-B1BC-9374-765F-50A7C2A7D016}"/>
              </a:ext>
            </a:extLst>
          </xdr:cNvPr>
          <xdr:cNvPicPr>
            <a:picLocks noChangeAspect="1"/>
          </xdr:cNvPicPr>
        </xdr:nvPicPr>
        <xdr:blipFill>
          <a:blip xmlns:r="http://schemas.openxmlformats.org/officeDocument/2006/relationships" r:embed="rId1"/>
          <a:stretch>
            <a:fillRect/>
          </a:stretch>
        </xdr:blipFill>
        <xdr:spPr>
          <a:xfrm>
            <a:off x="342900" y="342900"/>
            <a:ext cx="11893550" cy="4356100"/>
          </a:xfrm>
          <a:prstGeom prst="rect">
            <a:avLst/>
          </a:prstGeom>
        </xdr:spPr>
      </xdr:pic>
      <xdr:cxnSp macro="">
        <xdr:nvCxnSpPr>
          <xdr:cNvPr id="4" name="직선 화살표 연결선 3">
            <a:extLst>
              <a:ext uri="{FF2B5EF4-FFF2-40B4-BE49-F238E27FC236}">
                <a16:creationId xmlns:a16="http://schemas.microsoft.com/office/drawing/2014/main" id="{7936D678-FE11-F371-49B2-6036A8DB9B28}"/>
              </a:ext>
            </a:extLst>
          </xdr:cNvPr>
          <xdr:cNvCxnSpPr/>
        </xdr:nvCxnSpPr>
        <xdr:spPr>
          <a:xfrm>
            <a:off x="2559050" y="5200650"/>
            <a:ext cx="216000" cy="0"/>
          </a:xfrm>
          <a:prstGeom prst="straightConnector1">
            <a:avLst/>
          </a:prstGeom>
          <a:ln w="3175">
            <a:solidFill>
              <a:srgbClr val="FF00FF"/>
            </a:solidFill>
            <a:headEnd type="triangle" w="sm" len="sm"/>
            <a:tailEnd type="triangle" w="sm" len="sm"/>
          </a:ln>
        </xdr:spPr>
        <xdr:style>
          <a:lnRef idx="1">
            <a:schemeClr val="accent1"/>
          </a:lnRef>
          <a:fillRef idx="0">
            <a:schemeClr val="accent1"/>
          </a:fillRef>
          <a:effectRef idx="0">
            <a:schemeClr val="accent1"/>
          </a:effectRef>
          <a:fontRef idx="minor">
            <a:schemeClr val="tx1"/>
          </a:fontRef>
        </xdr:style>
      </xdr:cxnSp>
      <xdr:sp macro="" textlink="">
        <xdr:nvSpPr>
          <xdr:cNvPr id="5" name="TextBox 4">
            <a:extLst>
              <a:ext uri="{FF2B5EF4-FFF2-40B4-BE49-F238E27FC236}">
                <a16:creationId xmlns:a16="http://schemas.microsoft.com/office/drawing/2014/main" id="{2C86977E-0E94-8344-10C6-0782BEA21713}"/>
              </a:ext>
            </a:extLst>
          </xdr:cNvPr>
          <xdr:cNvSpPr txBox="1"/>
        </xdr:nvSpPr>
        <xdr:spPr>
          <a:xfrm>
            <a:off x="876300" y="5810250"/>
            <a:ext cx="1731949"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ko-KR" sz="1000" b="1">
                <a:solidFill>
                  <a:srgbClr val="FF00FF"/>
                </a:solidFill>
                <a:latin typeface="+mj-lt"/>
              </a:rPr>
              <a:t>TEMP/VEXT_TM</a:t>
            </a:r>
            <a:r>
              <a:rPr lang="en-US" altLang="ko-KR" sz="1000" b="1" baseline="0">
                <a:solidFill>
                  <a:srgbClr val="FF00FF"/>
                </a:solidFill>
                <a:latin typeface="+mj-lt"/>
              </a:rPr>
              <a:t> update times</a:t>
            </a:r>
            <a:endParaRPr lang="ko-KR" altLang="en-US" sz="1000" b="1">
              <a:solidFill>
                <a:srgbClr val="FF00FF"/>
              </a:solidFill>
              <a:latin typeface="+mj-lt"/>
            </a:endParaRPr>
          </a:p>
        </xdr:txBody>
      </xdr:sp>
      <xdr:sp macro="" textlink="">
        <xdr:nvSpPr>
          <xdr:cNvPr id="6" name="TextBox 5">
            <a:extLst>
              <a:ext uri="{FF2B5EF4-FFF2-40B4-BE49-F238E27FC236}">
                <a16:creationId xmlns:a16="http://schemas.microsoft.com/office/drawing/2014/main" id="{D8F0AD85-CC1E-445F-9CFA-11B27DA47877}"/>
              </a:ext>
            </a:extLst>
          </xdr:cNvPr>
          <xdr:cNvSpPr txBox="1"/>
        </xdr:nvSpPr>
        <xdr:spPr>
          <a:xfrm>
            <a:off x="292100" y="5060951"/>
            <a:ext cx="2203450" cy="5587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chorCtr="0">
            <a:noAutofit/>
          </a:bodyPr>
          <a:lstStyle/>
          <a:p>
            <a:pPr algn="r"/>
            <a:r>
              <a:rPr lang="en-US" altLang="ko-KR" sz="1000" b="1">
                <a:solidFill>
                  <a:srgbClr val="FF00FF"/>
                </a:solidFill>
                <a:latin typeface="+mj-lt"/>
                <a:ea typeface="+mn-ea"/>
              </a:rPr>
              <a:t>ADC_CLK =</a:t>
            </a:r>
            <a:r>
              <a:rPr lang="en-US" altLang="ko-KR" sz="1000" b="0">
                <a:solidFill>
                  <a:srgbClr val="FF00FF"/>
                </a:solidFill>
                <a:latin typeface="+mj-lt"/>
                <a:ea typeface="+mn-ea"/>
              </a:rPr>
              <a:t> </a:t>
            </a:r>
          </a:p>
          <a:p>
            <a:pPr algn="r"/>
            <a:r>
              <a:rPr lang="en-US" altLang="ko-KR" sz="900" b="0">
                <a:solidFill>
                  <a:srgbClr val="FF00FF"/>
                </a:solidFill>
                <a:latin typeface="+mj-lt"/>
                <a:ea typeface="+mn-ea"/>
              </a:rPr>
              <a:t>EVENT_CYC=</a:t>
            </a:r>
            <a:r>
              <a:rPr lang="en-US" altLang="ko-KR" sz="900" b="0" baseline="0">
                <a:solidFill>
                  <a:srgbClr val="FF00FF"/>
                </a:solidFill>
                <a:latin typeface="+mj-lt"/>
                <a:ea typeface="+mn-ea"/>
              </a:rPr>
              <a:t>0 </a:t>
            </a:r>
            <a:r>
              <a:rPr lang="en-US" altLang="ko-KR" sz="900" b="0" baseline="0">
                <a:solidFill>
                  <a:srgbClr val="FF00FF"/>
                </a:solidFill>
                <a:latin typeface="+mj-lt"/>
                <a:ea typeface="Malgun Gothic Semilight" panose="020B0502040204020203" pitchFamily="50" charset="-127"/>
                <a:cs typeface="Malgun Gothic Semilight" panose="020B0502040204020203" pitchFamily="50" charset="-127"/>
              </a:rPr>
              <a:t>→</a:t>
            </a:r>
            <a:r>
              <a:rPr lang="en-US" altLang="ko-KR" sz="900" b="0" baseline="0">
                <a:solidFill>
                  <a:srgbClr val="FF00FF"/>
                </a:solidFill>
                <a:latin typeface="+mj-lt"/>
                <a:ea typeface="+mn-ea"/>
              </a:rPr>
              <a:t> 128 mclk (8us, 125khz)</a:t>
            </a:r>
          </a:p>
          <a:p>
            <a:pPr marL="0" marR="0" lvl="0" indent="0" algn="r" defTabSz="914400" eaLnBrk="1" fontAlgn="auto" latinLnBrk="0" hangingPunct="1">
              <a:lnSpc>
                <a:spcPct val="100000"/>
              </a:lnSpc>
              <a:spcBef>
                <a:spcPts val="0"/>
              </a:spcBef>
              <a:spcAft>
                <a:spcPts val="0"/>
              </a:spcAft>
              <a:buClrTx/>
              <a:buSzTx/>
              <a:buFontTx/>
              <a:buNone/>
              <a:tabLst/>
              <a:defRPr/>
            </a:pPr>
            <a:r>
              <a:rPr lang="en-US" altLang="ko-KR" sz="900" b="0">
                <a:solidFill>
                  <a:srgbClr val="FF00FF"/>
                </a:solidFill>
                <a:effectLst/>
                <a:latin typeface="+mj-lt"/>
                <a:ea typeface="+mn-ea"/>
                <a:cs typeface="+mn-cs"/>
              </a:rPr>
              <a:t>EVENT_CYC=1</a:t>
            </a:r>
            <a:r>
              <a:rPr lang="en-US" altLang="ko-KR" sz="900" b="0" baseline="0">
                <a:solidFill>
                  <a:srgbClr val="FF00FF"/>
                </a:solidFill>
                <a:effectLst/>
                <a:latin typeface="+mj-lt"/>
                <a:ea typeface="+mn-ea"/>
                <a:cs typeface="+mn-cs"/>
              </a:rPr>
              <a:t> → 64 mclk (4us, 250khz)</a:t>
            </a:r>
            <a:endParaRPr lang="ko-KR" altLang="ko-KR" sz="900" b="0">
              <a:solidFill>
                <a:srgbClr val="FF00FF"/>
              </a:solidFill>
              <a:effectLst/>
              <a:latin typeface="+mj-lt"/>
              <a:ea typeface="+mn-ea"/>
            </a:endParaRPr>
          </a:p>
          <a:p>
            <a:pPr algn="r"/>
            <a:r>
              <a:rPr lang="en-US" altLang="ko-KR" sz="1000" b="0" baseline="0">
                <a:solidFill>
                  <a:srgbClr val="FF00FF"/>
                </a:solidFill>
                <a:latin typeface="+mj-lt"/>
                <a:ea typeface="+mn-ea"/>
              </a:rPr>
              <a:t>                 </a:t>
            </a:r>
            <a:endParaRPr lang="ko-KR" altLang="en-US" sz="1000" b="0">
              <a:solidFill>
                <a:srgbClr val="FF00FF"/>
              </a:solidFill>
              <a:latin typeface="+mj-lt"/>
              <a:ea typeface="+mn-ea"/>
            </a:endParaRPr>
          </a:p>
        </xdr:txBody>
      </xdr:sp>
      <xdr:cxnSp macro="">
        <xdr:nvCxnSpPr>
          <xdr:cNvPr id="7" name="직선 화살표 연결선 6">
            <a:extLst>
              <a:ext uri="{FF2B5EF4-FFF2-40B4-BE49-F238E27FC236}">
                <a16:creationId xmlns:a16="http://schemas.microsoft.com/office/drawing/2014/main" id="{738627DC-B6BA-4C85-8CDD-84BC603E769D}"/>
              </a:ext>
            </a:extLst>
          </xdr:cNvPr>
          <xdr:cNvCxnSpPr/>
        </xdr:nvCxnSpPr>
        <xdr:spPr>
          <a:xfrm flipV="1">
            <a:off x="1784350" y="4883150"/>
            <a:ext cx="3132000" cy="0"/>
          </a:xfrm>
          <a:prstGeom prst="straightConnector1">
            <a:avLst/>
          </a:prstGeom>
          <a:ln w="19050">
            <a:solidFill>
              <a:srgbClr val="FF00FF"/>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xnSp macro="">
        <xdr:nvCxnSpPr>
          <xdr:cNvPr id="9" name="직선 화살표 연결선 8">
            <a:extLst>
              <a:ext uri="{FF2B5EF4-FFF2-40B4-BE49-F238E27FC236}">
                <a16:creationId xmlns:a16="http://schemas.microsoft.com/office/drawing/2014/main" id="{6670878F-A304-462B-9404-1EFE3AF9F4C1}"/>
              </a:ext>
            </a:extLst>
          </xdr:cNvPr>
          <xdr:cNvCxnSpPr/>
        </xdr:nvCxnSpPr>
        <xdr:spPr>
          <a:xfrm flipV="1">
            <a:off x="4933950" y="4883150"/>
            <a:ext cx="3132000" cy="0"/>
          </a:xfrm>
          <a:prstGeom prst="straightConnector1">
            <a:avLst/>
          </a:prstGeom>
          <a:ln w="19050">
            <a:solidFill>
              <a:srgbClr val="FF00FF"/>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xnSp macro="">
        <xdr:nvCxnSpPr>
          <xdr:cNvPr id="10" name="직선 화살표 연결선 9">
            <a:extLst>
              <a:ext uri="{FF2B5EF4-FFF2-40B4-BE49-F238E27FC236}">
                <a16:creationId xmlns:a16="http://schemas.microsoft.com/office/drawing/2014/main" id="{9FCD2322-B600-4986-B9CE-3E73095C16A8}"/>
              </a:ext>
            </a:extLst>
          </xdr:cNvPr>
          <xdr:cNvCxnSpPr/>
        </xdr:nvCxnSpPr>
        <xdr:spPr>
          <a:xfrm flipV="1">
            <a:off x="8070850" y="4883150"/>
            <a:ext cx="3132000" cy="0"/>
          </a:xfrm>
          <a:prstGeom prst="straightConnector1">
            <a:avLst/>
          </a:prstGeom>
          <a:ln w="19050">
            <a:solidFill>
              <a:srgbClr val="FF00FF"/>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sp macro="" textlink="">
        <xdr:nvSpPr>
          <xdr:cNvPr id="13" name="TextBox 12">
            <a:extLst>
              <a:ext uri="{FF2B5EF4-FFF2-40B4-BE49-F238E27FC236}">
                <a16:creationId xmlns:a16="http://schemas.microsoft.com/office/drawing/2014/main" id="{C88B610B-74C7-464F-9355-8D6F517ECD0E}"/>
              </a:ext>
            </a:extLst>
          </xdr:cNvPr>
          <xdr:cNvSpPr txBox="1"/>
        </xdr:nvSpPr>
        <xdr:spPr>
          <a:xfrm>
            <a:off x="5695950" y="4766227"/>
            <a:ext cx="1771650" cy="389973"/>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chorCtr="0">
            <a:noAutofit/>
          </a:bodyPr>
          <a:lstStyle/>
          <a:p>
            <a:pPr algn="ctr"/>
            <a:r>
              <a:rPr lang="en-US" altLang="ko-KR" sz="1200" b="1" baseline="0">
                <a:solidFill>
                  <a:srgbClr val="FF00FF"/>
                </a:solidFill>
                <a:latin typeface="+mj-lt"/>
              </a:rPr>
              <a:t>VEXT_TM sampling duration</a:t>
            </a:r>
          </a:p>
          <a:p>
            <a:pPr marL="0" marR="0" lvl="0" indent="0" algn="ctr" defTabSz="914400" eaLnBrk="1" fontAlgn="auto" latinLnBrk="0" hangingPunct="1">
              <a:lnSpc>
                <a:spcPct val="100000"/>
              </a:lnSpc>
              <a:spcBef>
                <a:spcPts val="0"/>
              </a:spcBef>
              <a:spcAft>
                <a:spcPts val="0"/>
              </a:spcAft>
              <a:buClrTx/>
              <a:buSzTx/>
              <a:buFontTx/>
              <a:buNone/>
              <a:tabLst/>
              <a:defRPr/>
            </a:pPr>
            <a:r>
              <a:rPr lang="en-US" altLang="ko-KR" sz="1000" b="0" baseline="0">
                <a:solidFill>
                  <a:srgbClr val="FF00FF"/>
                </a:solidFill>
                <a:effectLst/>
                <a:latin typeface="+mn-lt"/>
                <a:ea typeface="+mn-ea"/>
                <a:cs typeface="+mn-cs"/>
              </a:rPr>
              <a:t>(if VEXT_MON_E = 1)</a:t>
            </a:r>
            <a:endParaRPr lang="ko-KR" altLang="en-US" sz="1200" b="1">
              <a:solidFill>
                <a:srgbClr val="FF00FF"/>
              </a:solidFill>
              <a:latin typeface="+mj-lt"/>
            </a:endParaRPr>
          </a:p>
        </xdr:txBody>
      </xdr:sp>
      <xdr:sp macro="" textlink="">
        <xdr:nvSpPr>
          <xdr:cNvPr id="14" name="TextBox 13">
            <a:extLst>
              <a:ext uri="{FF2B5EF4-FFF2-40B4-BE49-F238E27FC236}">
                <a16:creationId xmlns:a16="http://schemas.microsoft.com/office/drawing/2014/main" id="{476866B5-63CC-43F9-A759-3C290EEEA20F}"/>
              </a:ext>
            </a:extLst>
          </xdr:cNvPr>
          <xdr:cNvSpPr txBox="1"/>
        </xdr:nvSpPr>
        <xdr:spPr>
          <a:xfrm>
            <a:off x="8985250" y="4747177"/>
            <a:ext cx="1612900" cy="231223"/>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chorCtr="0">
            <a:noAutofit/>
          </a:bodyPr>
          <a:lstStyle/>
          <a:p>
            <a:pPr algn="ctr"/>
            <a:r>
              <a:rPr lang="en-US" altLang="ko-KR" sz="1200" b="1" baseline="0">
                <a:solidFill>
                  <a:srgbClr val="FF00FF"/>
                </a:solidFill>
                <a:latin typeface="+mj-lt"/>
              </a:rPr>
              <a:t>TEMP sampling duration</a:t>
            </a:r>
            <a:endParaRPr lang="ko-KR" altLang="en-US" sz="1200" b="1">
              <a:solidFill>
                <a:srgbClr val="FF00FF"/>
              </a:solidFill>
              <a:latin typeface="+mj-lt"/>
            </a:endParaRPr>
          </a:p>
        </xdr:txBody>
      </xdr:sp>
      <xdr:cxnSp macro="">
        <xdr:nvCxnSpPr>
          <xdr:cNvPr id="15" name="직선 화살표 연결선 14">
            <a:extLst>
              <a:ext uri="{FF2B5EF4-FFF2-40B4-BE49-F238E27FC236}">
                <a16:creationId xmlns:a16="http://schemas.microsoft.com/office/drawing/2014/main" id="{9D3D70C3-052B-4E8F-B274-D718BFF7410A}"/>
              </a:ext>
            </a:extLst>
          </xdr:cNvPr>
          <xdr:cNvCxnSpPr/>
        </xdr:nvCxnSpPr>
        <xdr:spPr>
          <a:xfrm>
            <a:off x="2571750" y="4743450"/>
            <a:ext cx="0" cy="540000"/>
          </a:xfrm>
          <a:prstGeom prst="straightConnector1">
            <a:avLst/>
          </a:prstGeom>
          <a:ln w="3175">
            <a:solidFill>
              <a:srgbClr val="FF00FF"/>
            </a:solidFill>
            <a:prstDash val="dash"/>
            <a:headEnd type="none"/>
            <a:tailEnd type="none" w="sm" len="sm"/>
          </a:ln>
        </xdr:spPr>
        <xdr:style>
          <a:lnRef idx="1">
            <a:schemeClr val="accent1"/>
          </a:lnRef>
          <a:fillRef idx="0">
            <a:schemeClr val="accent1"/>
          </a:fillRef>
          <a:effectRef idx="0">
            <a:schemeClr val="accent1"/>
          </a:effectRef>
          <a:fontRef idx="minor">
            <a:schemeClr val="tx1"/>
          </a:fontRef>
        </xdr:style>
      </xdr:cxnSp>
      <xdr:cxnSp macro="">
        <xdr:nvCxnSpPr>
          <xdr:cNvPr id="17" name="직선 화살표 연결선 16">
            <a:extLst>
              <a:ext uri="{FF2B5EF4-FFF2-40B4-BE49-F238E27FC236}">
                <a16:creationId xmlns:a16="http://schemas.microsoft.com/office/drawing/2014/main" id="{74B86E1B-531C-4D7C-A9C6-B2EC8939A618}"/>
              </a:ext>
            </a:extLst>
          </xdr:cNvPr>
          <xdr:cNvCxnSpPr/>
        </xdr:nvCxnSpPr>
        <xdr:spPr>
          <a:xfrm flipH="1">
            <a:off x="2762250" y="2146300"/>
            <a:ext cx="0" cy="3708400"/>
          </a:xfrm>
          <a:prstGeom prst="straightConnector1">
            <a:avLst/>
          </a:prstGeom>
          <a:ln w="3175">
            <a:solidFill>
              <a:srgbClr val="FF00FF"/>
            </a:solidFill>
            <a:prstDash val="dash"/>
            <a:headEnd type="none"/>
            <a:tailEnd type="triangle" w="sm" len="sm"/>
          </a:ln>
        </xdr:spPr>
        <xdr:style>
          <a:lnRef idx="1">
            <a:schemeClr val="accent1"/>
          </a:lnRef>
          <a:fillRef idx="0">
            <a:schemeClr val="accent1"/>
          </a:fillRef>
          <a:effectRef idx="0">
            <a:schemeClr val="accent1"/>
          </a:effectRef>
          <a:fontRef idx="minor">
            <a:schemeClr val="tx1"/>
          </a:fontRef>
        </xdr:style>
      </xdr:cxnSp>
      <xdr:cxnSp macro="">
        <xdr:nvCxnSpPr>
          <xdr:cNvPr id="18" name="직선 화살표 연결선 17">
            <a:extLst>
              <a:ext uri="{FF2B5EF4-FFF2-40B4-BE49-F238E27FC236}">
                <a16:creationId xmlns:a16="http://schemas.microsoft.com/office/drawing/2014/main" id="{D9D7AD99-350F-44B3-BAA5-8BB72F27169B}"/>
              </a:ext>
            </a:extLst>
          </xdr:cNvPr>
          <xdr:cNvCxnSpPr/>
        </xdr:nvCxnSpPr>
        <xdr:spPr>
          <a:xfrm>
            <a:off x="2197100" y="1536700"/>
            <a:ext cx="0" cy="252000"/>
          </a:xfrm>
          <a:prstGeom prst="straightConnector1">
            <a:avLst/>
          </a:prstGeom>
          <a:ln>
            <a:solidFill>
              <a:srgbClr val="FF00FF"/>
            </a:solidFill>
            <a:prstDash val="dash"/>
            <a:headEnd type="none"/>
            <a:tailEnd type="none"/>
          </a:ln>
        </xdr:spPr>
        <xdr:style>
          <a:lnRef idx="1">
            <a:schemeClr val="accent1"/>
          </a:lnRef>
          <a:fillRef idx="0">
            <a:schemeClr val="accent1"/>
          </a:fillRef>
          <a:effectRef idx="0">
            <a:schemeClr val="accent1"/>
          </a:effectRef>
          <a:fontRef idx="minor">
            <a:schemeClr val="tx1"/>
          </a:fontRef>
        </xdr:style>
      </xdr:cxnSp>
      <xdr:cxnSp macro="">
        <xdr:nvCxnSpPr>
          <xdr:cNvPr id="19" name="직선 화살표 연결선 18">
            <a:extLst>
              <a:ext uri="{FF2B5EF4-FFF2-40B4-BE49-F238E27FC236}">
                <a16:creationId xmlns:a16="http://schemas.microsoft.com/office/drawing/2014/main" id="{31F32519-0451-43B4-AC37-89FAA1317028}"/>
              </a:ext>
            </a:extLst>
          </xdr:cNvPr>
          <xdr:cNvCxnSpPr/>
        </xdr:nvCxnSpPr>
        <xdr:spPr>
          <a:xfrm>
            <a:off x="1993900" y="1536700"/>
            <a:ext cx="0" cy="252000"/>
          </a:xfrm>
          <a:prstGeom prst="straightConnector1">
            <a:avLst/>
          </a:prstGeom>
          <a:ln>
            <a:solidFill>
              <a:srgbClr val="FF00FF"/>
            </a:solidFill>
            <a:prstDash val="dash"/>
            <a:headEnd type="none"/>
            <a:tailEnd type="none"/>
          </a:ln>
        </xdr:spPr>
        <xdr:style>
          <a:lnRef idx="1">
            <a:schemeClr val="accent1"/>
          </a:lnRef>
          <a:fillRef idx="0">
            <a:schemeClr val="accent1"/>
          </a:fillRef>
          <a:effectRef idx="0">
            <a:schemeClr val="accent1"/>
          </a:effectRef>
          <a:fontRef idx="minor">
            <a:schemeClr val="tx1"/>
          </a:fontRef>
        </xdr:style>
      </xdr:cxnSp>
      <xdr:sp macro="" textlink="">
        <xdr:nvSpPr>
          <xdr:cNvPr id="12" name="TextBox 11">
            <a:extLst>
              <a:ext uri="{FF2B5EF4-FFF2-40B4-BE49-F238E27FC236}">
                <a16:creationId xmlns:a16="http://schemas.microsoft.com/office/drawing/2014/main" id="{CD454497-EBD2-4869-947A-AF102C05EBCB}"/>
              </a:ext>
            </a:extLst>
          </xdr:cNvPr>
          <xdr:cNvSpPr txBox="1"/>
        </xdr:nvSpPr>
        <xdr:spPr>
          <a:xfrm>
            <a:off x="2673350" y="4759877"/>
            <a:ext cx="1549400" cy="205823"/>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chorCtr="0">
            <a:noAutofit/>
          </a:bodyPr>
          <a:lstStyle/>
          <a:p>
            <a:pPr algn="ctr"/>
            <a:r>
              <a:rPr lang="en-US" altLang="ko-KR" sz="1200" b="1" baseline="0">
                <a:solidFill>
                  <a:srgbClr val="FF00FF"/>
                </a:solidFill>
                <a:latin typeface="+mj-lt"/>
              </a:rPr>
              <a:t>TEMP sampling duration</a:t>
            </a:r>
            <a:endParaRPr lang="ko-KR" altLang="en-US" sz="1200" b="1">
              <a:solidFill>
                <a:srgbClr val="FF00FF"/>
              </a:solidFill>
              <a:latin typeface="+mj-lt"/>
            </a:endParaRPr>
          </a:p>
        </xdr:txBody>
      </xdr:sp>
      <xdr:sp macro="" textlink="">
        <xdr:nvSpPr>
          <xdr:cNvPr id="21" name="TextBox 20">
            <a:extLst>
              <a:ext uri="{FF2B5EF4-FFF2-40B4-BE49-F238E27FC236}">
                <a16:creationId xmlns:a16="http://schemas.microsoft.com/office/drawing/2014/main" id="{F9E8D06F-E1FE-40C6-8D89-678E42E51082}"/>
              </a:ext>
            </a:extLst>
          </xdr:cNvPr>
          <xdr:cNvSpPr txBox="1"/>
        </xdr:nvSpPr>
        <xdr:spPr>
          <a:xfrm>
            <a:off x="2825750" y="5829300"/>
            <a:ext cx="313547"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ko-KR" sz="1000" b="0">
                <a:solidFill>
                  <a:srgbClr val="FF00FF"/>
                </a:solidFill>
                <a:latin typeface="+mj-lt"/>
              </a:rPr>
              <a:t>#2</a:t>
            </a:r>
            <a:endParaRPr lang="ko-KR" altLang="en-US" sz="1000" b="0">
              <a:solidFill>
                <a:srgbClr val="FF00FF"/>
              </a:solidFill>
              <a:latin typeface="+mj-lt"/>
            </a:endParaRPr>
          </a:p>
        </xdr:txBody>
      </xdr:sp>
      <xdr:sp macro="" textlink="">
        <xdr:nvSpPr>
          <xdr:cNvPr id="22" name="TextBox 21">
            <a:extLst>
              <a:ext uri="{FF2B5EF4-FFF2-40B4-BE49-F238E27FC236}">
                <a16:creationId xmlns:a16="http://schemas.microsoft.com/office/drawing/2014/main" id="{085CCA73-BD22-42E3-AC18-0B64509FC3B8}"/>
              </a:ext>
            </a:extLst>
          </xdr:cNvPr>
          <xdr:cNvSpPr txBox="1"/>
        </xdr:nvSpPr>
        <xdr:spPr>
          <a:xfrm>
            <a:off x="2609850" y="5829300"/>
            <a:ext cx="313547"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ko-KR" sz="1000" b="0">
                <a:solidFill>
                  <a:srgbClr val="FF00FF"/>
                </a:solidFill>
                <a:latin typeface="+mj-lt"/>
              </a:rPr>
              <a:t>#1</a:t>
            </a:r>
            <a:endParaRPr lang="ko-KR" altLang="en-US" sz="1000" b="0">
              <a:solidFill>
                <a:srgbClr val="FF00FF"/>
              </a:solidFill>
              <a:latin typeface="+mj-lt"/>
            </a:endParaRPr>
          </a:p>
        </xdr:txBody>
      </xdr:sp>
      <xdr:cxnSp macro="">
        <xdr:nvCxnSpPr>
          <xdr:cNvPr id="23" name="직선 화살표 연결선 22">
            <a:extLst>
              <a:ext uri="{FF2B5EF4-FFF2-40B4-BE49-F238E27FC236}">
                <a16:creationId xmlns:a16="http://schemas.microsoft.com/office/drawing/2014/main" id="{C61D920F-F0E0-4323-B00F-9EF9674AE4FC}"/>
              </a:ext>
            </a:extLst>
          </xdr:cNvPr>
          <xdr:cNvCxnSpPr/>
        </xdr:nvCxnSpPr>
        <xdr:spPr>
          <a:xfrm flipH="1">
            <a:off x="2971800" y="2146300"/>
            <a:ext cx="0" cy="3708400"/>
          </a:xfrm>
          <a:prstGeom prst="straightConnector1">
            <a:avLst/>
          </a:prstGeom>
          <a:ln w="3175">
            <a:solidFill>
              <a:srgbClr val="FF00FF"/>
            </a:solidFill>
            <a:prstDash val="dash"/>
            <a:headEnd type="none"/>
            <a:tailEnd type="triangle" w="sm" len="sm"/>
          </a:ln>
        </xdr:spPr>
        <xdr:style>
          <a:lnRef idx="1">
            <a:schemeClr val="accent1"/>
          </a:lnRef>
          <a:fillRef idx="0">
            <a:schemeClr val="accent1"/>
          </a:fillRef>
          <a:effectRef idx="0">
            <a:schemeClr val="accent1"/>
          </a:effectRef>
          <a:fontRef idx="minor">
            <a:schemeClr val="tx1"/>
          </a:fontRef>
        </xdr:style>
      </xdr:cxnSp>
      <xdr:cxnSp macro="">
        <xdr:nvCxnSpPr>
          <xdr:cNvPr id="27" name="직선 화살표 연결선 26">
            <a:extLst>
              <a:ext uri="{FF2B5EF4-FFF2-40B4-BE49-F238E27FC236}">
                <a16:creationId xmlns:a16="http://schemas.microsoft.com/office/drawing/2014/main" id="{16A56FD2-0FA6-483F-9BFF-FB345F453254}"/>
              </a:ext>
            </a:extLst>
          </xdr:cNvPr>
          <xdr:cNvCxnSpPr/>
        </xdr:nvCxnSpPr>
        <xdr:spPr>
          <a:xfrm flipH="1">
            <a:off x="5918200" y="2152650"/>
            <a:ext cx="0" cy="3708400"/>
          </a:xfrm>
          <a:prstGeom prst="straightConnector1">
            <a:avLst/>
          </a:prstGeom>
          <a:ln w="3175">
            <a:solidFill>
              <a:srgbClr val="FF00FF"/>
            </a:solidFill>
            <a:prstDash val="dash"/>
            <a:headEnd type="none"/>
            <a:tailEnd type="triangle" w="sm" len="sm"/>
          </a:ln>
        </xdr:spPr>
        <xdr:style>
          <a:lnRef idx="1">
            <a:schemeClr val="accent1"/>
          </a:lnRef>
          <a:fillRef idx="0">
            <a:schemeClr val="accent1"/>
          </a:fillRef>
          <a:effectRef idx="0">
            <a:schemeClr val="accent1"/>
          </a:effectRef>
          <a:fontRef idx="minor">
            <a:schemeClr val="tx1"/>
          </a:fontRef>
        </xdr:style>
      </xdr:cxnSp>
      <xdr:cxnSp macro="">
        <xdr:nvCxnSpPr>
          <xdr:cNvPr id="28" name="직선 화살표 연결선 27">
            <a:extLst>
              <a:ext uri="{FF2B5EF4-FFF2-40B4-BE49-F238E27FC236}">
                <a16:creationId xmlns:a16="http://schemas.microsoft.com/office/drawing/2014/main" id="{E385B5A0-8B77-4650-AD31-BB90DE70758E}"/>
              </a:ext>
            </a:extLst>
          </xdr:cNvPr>
          <xdr:cNvCxnSpPr/>
        </xdr:nvCxnSpPr>
        <xdr:spPr>
          <a:xfrm flipH="1">
            <a:off x="6115050" y="2146300"/>
            <a:ext cx="0" cy="3708400"/>
          </a:xfrm>
          <a:prstGeom prst="straightConnector1">
            <a:avLst/>
          </a:prstGeom>
          <a:ln w="3175">
            <a:solidFill>
              <a:srgbClr val="FF00FF"/>
            </a:solidFill>
            <a:prstDash val="dash"/>
            <a:headEnd type="none"/>
            <a:tailEnd type="triangle" w="sm" len="sm"/>
          </a:ln>
        </xdr:spPr>
        <xdr:style>
          <a:lnRef idx="1">
            <a:schemeClr val="accent1"/>
          </a:lnRef>
          <a:fillRef idx="0">
            <a:schemeClr val="accent1"/>
          </a:fillRef>
          <a:effectRef idx="0">
            <a:schemeClr val="accent1"/>
          </a:effectRef>
          <a:fontRef idx="minor">
            <a:schemeClr val="tx1"/>
          </a:fontRef>
        </xdr:style>
      </xdr:cxnSp>
      <xdr:cxnSp macro="">
        <xdr:nvCxnSpPr>
          <xdr:cNvPr id="29" name="직선 화살표 연결선 28">
            <a:extLst>
              <a:ext uri="{FF2B5EF4-FFF2-40B4-BE49-F238E27FC236}">
                <a16:creationId xmlns:a16="http://schemas.microsoft.com/office/drawing/2014/main" id="{4D887DE2-14AC-4865-A782-294F7D8834CC}"/>
              </a:ext>
            </a:extLst>
          </xdr:cNvPr>
          <xdr:cNvCxnSpPr/>
        </xdr:nvCxnSpPr>
        <xdr:spPr>
          <a:xfrm flipH="1">
            <a:off x="8058150" y="4743450"/>
            <a:ext cx="0" cy="1116000"/>
          </a:xfrm>
          <a:prstGeom prst="straightConnector1">
            <a:avLst/>
          </a:prstGeom>
          <a:ln w="3175">
            <a:solidFill>
              <a:srgbClr val="FF00FF"/>
            </a:solidFill>
            <a:prstDash val="dash"/>
            <a:headEnd type="none"/>
            <a:tailEnd type="triangle" w="sm" len="sm"/>
          </a:ln>
        </xdr:spPr>
        <xdr:style>
          <a:lnRef idx="1">
            <a:schemeClr val="accent1"/>
          </a:lnRef>
          <a:fillRef idx="0">
            <a:schemeClr val="accent1"/>
          </a:fillRef>
          <a:effectRef idx="0">
            <a:schemeClr val="accent1"/>
          </a:effectRef>
          <a:fontRef idx="minor">
            <a:schemeClr val="tx1"/>
          </a:fontRef>
        </xdr:style>
      </xdr:cxnSp>
      <xdr:cxnSp macro="">
        <xdr:nvCxnSpPr>
          <xdr:cNvPr id="30" name="직선 화살표 연결선 29">
            <a:extLst>
              <a:ext uri="{FF2B5EF4-FFF2-40B4-BE49-F238E27FC236}">
                <a16:creationId xmlns:a16="http://schemas.microsoft.com/office/drawing/2014/main" id="{294EE317-6B9C-4845-AC8E-D8C32148A61F}"/>
              </a:ext>
            </a:extLst>
          </xdr:cNvPr>
          <xdr:cNvCxnSpPr/>
        </xdr:nvCxnSpPr>
        <xdr:spPr>
          <a:xfrm flipH="1">
            <a:off x="4921250" y="4743450"/>
            <a:ext cx="0" cy="1116000"/>
          </a:xfrm>
          <a:prstGeom prst="straightConnector1">
            <a:avLst/>
          </a:prstGeom>
          <a:ln w="3175">
            <a:solidFill>
              <a:srgbClr val="FF00FF"/>
            </a:solidFill>
            <a:prstDash val="dash"/>
            <a:headEnd type="none"/>
            <a:tailEnd type="triangle" w="sm" len="sm"/>
          </a:ln>
        </xdr:spPr>
        <xdr:style>
          <a:lnRef idx="1">
            <a:schemeClr val="accent1"/>
          </a:lnRef>
          <a:fillRef idx="0">
            <a:schemeClr val="accent1"/>
          </a:fillRef>
          <a:effectRef idx="0">
            <a:schemeClr val="accent1"/>
          </a:effectRef>
          <a:fontRef idx="minor">
            <a:schemeClr val="tx1"/>
          </a:fontRef>
        </xdr:style>
      </xdr:cxnSp>
      <xdr:sp macro="" textlink="">
        <xdr:nvSpPr>
          <xdr:cNvPr id="31" name="TextBox 30">
            <a:extLst>
              <a:ext uri="{FF2B5EF4-FFF2-40B4-BE49-F238E27FC236}">
                <a16:creationId xmlns:a16="http://schemas.microsoft.com/office/drawing/2014/main" id="{41122616-9903-4A32-BFFE-A14F906F81BD}"/>
              </a:ext>
            </a:extLst>
          </xdr:cNvPr>
          <xdr:cNvSpPr txBox="1"/>
        </xdr:nvSpPr>
        <xdr:spPr>
          <a:xfrm>
            <a:off x="4737100" y="5842000"/>
            <a:ext cx="378565"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ko-KR" sz="1000" b="0">
                <a:solidFill>
                  <a:srgbClr val="FF00FF"/>
                </a:solidFill>
                <a:latin typeface="+mj-lt"/>
              </a:rPr>
              <a:t>#32</a:t>
            </a:r>
            <a:endParaRPr lang="ko-KR" altLang="en-US" sz="1000" b="0">
              <a:solidFill>
                <a:srgbClr val="FF00FF"/>
              </a:solidFill>
              <a:latin typeface="+mj-lt"/>
            </a:endParaRPr>
          </a:p>
        </xdr:txBody>
      </xdr:sp>
      <xdr:sp macro="" textlink="">
        <xdr:nvSpPr>
          <xdr:cNvPr id="32" name="TextBox 31">
            <a:extLst>
              <a:ext uri="{FF2B5EF4-FFF2-40B4-BE49-F238E27FC236}">
                <a16:creationId xmlns:a16="http://schemas.microsoft.com/office/drawing/2014/main" id="{A0E2E05E-FBD8-487F-93E0-FE42A152DEB3}"/>
              </a:ext>
            </a:extLst>
          </xdr:cNvPr>
          <xdr:cNvSpPr txBox="1"/>
        </xdr:nvSpPr>
        <xdr:spPr>
          <a:xfrm>
            <a:off x="5975350" y="5835650"/>
            <a:ext cx="313547"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ko-KR" sz="1000" b="0">
                <a:solidFill>
                  <a:srgbClr val="FF00FF"/>
                </a:solidFill>
                <a:latin typeface="+mj-lt"/>
              </a:rPr>
              <a:t>#2</a:t>
            </a:r>
            <a:endParaRPr lang="ko-KR" altLang="en-US" sz="1000" b="0">
              <a:solidFill>
                <a:srgbClr val="FF00FF"/>
              </a:solidFill>
              <a:latin typeface="+mj-lt"/>
            </a:endParaRPr>
          </a:p>
        </xdr:txBody>
      </xdr:sp>
      <xdr:sp macro="" textlink="">
        <xdr:nvSpPr>
          <xdr:cNvPr id="33" name="TextBox 32">
            <a:extLst>
              <a:ext uri="{FF2B5EF4-FFF2-40B4-BE49-F238E27FC236}">
                <a16:creationId xmlns:a16="http://schemas.microsoft.com/office/drawing/2014/main" id="{015B28F5-6DE4-4C50-83C1-4CD6BB1E383A}"/>
              </a:ext>
            </a:extLst>
          </xdr:cNvPr>
          <xdr:cNvSpPr txBox="1"/>
        </xdr:nvSpPr>
        <xdr:spPr>
          <a:xfrm>
            <a:off x="5772150" y="5835650"/>
            <a:ext cx="313547"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ko-KR" sz="1000" b="0">
                <a:solidFill>
                  <a:srgbClr val="FF00FF"/>
                </a:solidFill>
                <a:latin typeface="+mj-lt"/>
              </a:rPr>
              <a:t>#1</a:t>
            </a:r>
            <a:endParaRPr lang="ko-KR" altLang="en-US" sz="1000" b="0">
              <a:solidFill>
                <a:srgbClr val="FF00FF"/>
              </a:solidFill>
              <a:latin typeface="+mj-lt"/>
            </a:endParaRPr>
          </a:p>
        </xdr:txBody>
      </xdr:sp>
      <xdr:sp macro="" textlink="">
        <xdr:nvSpPr>
          <xdr:cNvPr id="34" name="TextBox 33">
            <a:extLst>
              <a:ext uri="{FF2B5EF4-FFF2-40B4-BE49-F238E27FC236}">
                <a16:creationId xmlns:a16="http://schemas.microsoft.com/office/drawing/2014/main" id="{01990C63-F95F-4993-9F18-AA6970DFFED4}"/>
              </a:ext>
            </a:extLst>
          </xdr:cNvPr>
          <xdr:cNvSpPr txBox="1"/>
        </xdr:nvSpPr>
        <xdr:spPr>
          <a:xfrm>
            <a:off x="7880350" y="5848350"/>
            <a:ext cx="378565"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ko-KR" sz="1000" b="0">
                <a:solidFill>
                  <a:srgbClr val="FF00FF"/>
                </a:solidFill>
                <a:latin typeface="+mj-lt"/>
              </a:rPr>
              <a:t>#32</a:t>
            </a:r>
            <a:endParaRPr lang="ko-KR" altLang="en-US" sz="1000" b="0">
              <a:solidFill>
                <a:srgbClr val="FF00FF"/>
              </a:solidFill>
              <a:latin typeface="+mj-lt"/>
            </a:endParaRPr>
          </a:p>
        </xdr:txBody>
      </xdr:sp>
      <xdr:sp macro="" textlink="">
        <xdr:nvSpPr>
          <xdr:cNvPr id="35" name="TextBox 34">
            <a:extLst>
              <a:ext uri="{FF2B5EF4-FFF2-40B4-BE49-F238E27FC236}">
                <a16:creationId xmlns:a16="http://schemas.microsoft.com/office/drawing/2014/main" id="{54D61D52-21A9-40C3-BE26-99C72D633F2E}"/>
              </a:ext>
            </a:extLst>
          </xdr:cNvPr>
          <xdr:cNvSpPr txBox="1"/>
        </xdr:nvSpPr>
        <xdr:spPr>
          <a:xfrm>
            <a:off x="476250" y="285750"/>
            <a:ext cx="4032250" cy="40543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altLang="ko-KR" sz="2000" b="1">
                <a:solidFill>
                  <a:srgbClr val="FF00FF"/>
                </a:solidFill>
                <a:latin typeface="+mj-lt"/>
              </a:rPr>
              <a:t>2. ADC</a:t>
            </a:r>
            <a:r>
              <a:rPr lang="en-US" altLang="ko-KR" sz="2000" b="1" baseline="0">
                <a:solidFill>
                  <a:srgbClr val="FF00FF"/>
                </a:solidFill>
                <a:latin typeface="+mj-lt"/>
              </a:rPr>
              <a:t> Timing</a:t>
            </a:r>
            <a:endParaRPr lang="ko-KR" altLang="en-US" sz="2000" b="1">
              <a:solidFill>
                <a:srgbClr val="FF00FF"/>
              </a:solidFill>
              <a:latin typeface="+mj-lt"/>
            </a:endParaRPr>
          </a:p>
        </xdr:txBody>
      </xdr:sp>
    </xdr:grpSp>
    <xdr:clientData/>
  </xdr:twoCellAnchor>
  <xdr:twoCellAnchor>
    <xdr:from>
      <xdr:col>0</xdr:col>
      <xdr:colOff>361950</xdr:colOff>
      <xdr:row>0</xdr:row>
      <xdr:rowOff>127000</xdr:rowOff>
    </xdr:from>
    <xdr:to>
      <xdr:col>12</xdr:col>
      <xdr:colOff>628650</xdr:colOff>
      <xdr:row>10</xdr:row>
      <xdr:rowOff>114300</xdr:rowOff>
    </xdr:to>
    <xdr:sp macro="" textlink="">
      <xdr:nvSpPr>
        <xdr:cNvPr id="37" name="TextBox 36">
          <a:extLst>
            <a:ext uri="{FF2B5EF4-FFF2-40B4-BE49-F238E27FC236}">
              <a16:creationId xmlns:a16="http://schemas.microsoft.com/office/drawing/2014/main" id="{3B76B26B-FF48-4108-A08F-B2831730F557}"/>
            </a:ext>
          </a:extLst>
        </xdr:cNvPr>
        <xdr:cNvSpPr txBox="1"/>
      </xdr:nvSpPr>
      <xdr:spPr>
        <a:xfrm>
          <a:off x="361950" y="127000"/>
          <a:ext cx="8191500" cy="21463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altLang="ko-KR" sz="2000" b="1">
              <a:solidFill>
                <a:srgbClr val="FF00FF"/>
              </a:solidFill>
              <a:latin typeface="+mj-lt"/>
            </a:rPr>
            <a:t>1. ADC</a:t>
          </a:r>
          <a:r>
            <a:rPr lang="en-US" altLang="ko-KR" sz="2000" b="1" baseline="0">
              <a:solidFill>
                <a:srgbClr val="FF00FF"/>
              </a:solidFill>
              <a:latin typeface="+mj-lt"/>
            </a:rPr>
            <a:t> averaging : Moving average method</a:t>
          </a:r>
        </a:p>
        <a:p>
          <a:r>
            <a:rPr lang="en-US" altLang="ko-KR" sz="1100" b="0" baseline="0">
              <a:solidFill>
                <a:srgbClr val="FF00FF"/>
              </a:solidFill>
              <a:latin typeface="+mj-lt"/>
            </a:rPr>
            <a:t>      - </a:t>
          </a:r>
          <a:r>
            <a:rPr lang="ko-KR" altLang="en-US" sz="1100" b="0" baseline="0">
              <a:solidFill>
                <a:srgbClr val="FF00FF"/>
              </a:solidFill>
              <a:latin typeface="+mj-lt"/>
            </a:rPr>
            <a:t>처음 </a:t>
          </a:r>
          <a:r>
            <a:rPr lang="en-US" altLang="ko-KR" sz="1100" b="0" baseline="0">
              <a:solidFill>
                <a:srgbClr val="FF00FF"/>
              </a:solidFill>
              <a:latin typeface="+mj-lt"/>
            </a:rPr>
            <a:t>32ea ADC_CLK </a:t>
          </a:r>
          <a:r>
            <a:rPr lang="ko-KR" altLang="en-US" sz="1100" b="0" baseline="0">
              <a:solidFill>
                <a:srgbClr val="FF00FF"/>
              </a:solidFill>
              <a:latin typeface="+mj-lt"/>
            </a:rPr>
            <a:t>동안 </a:t>
          </a:r>
          <a:r>
            <a:rPr lang="en-US" altLang="ko-KR" sz="1100" b="0" baseline="0">
              <a:solidFill>
                <a:srgbClr val="FF00FF"/>
              </a:solidFill>
              <a:latin typeface="+mj-lt"/>
            </a:rPr>
            <a:t>sampling</a:t>
          </a:r>
          <a:r>
            <a:rPr lang="ko-KR" altLang="en-US" sz="1100" b="0" baseline="0">
              <a:solidFill>
                <a:srgbClr val="FF00FF"/>
              </a:solidFill>
              <a:latin typeface="+mj-lt"/>
            </a:rPr>
            <a:t>한 값들을 누적 평균하여 </a:t>
          </a:r>
          <a:r>
            <a:rPr lang="en-US" altLang="ko-KR" sz="1100" b="0" baseline="0">
              <a:solidFill>
                <a:srgbClr val="FF00FF"/>
              </a:solidFill>
              <a:latin typeface="+mj-lt"/>
            </a:rPr>
            <a:t>33</a:t>
          </a:r>
          <a:r>
            <a:rPr lang="ko-KR" altLang="en-US" sz="1100" b="0" baseline="0">
              <a:solidFill>
                <a:srgbClr val="FF00FF"/>
              </a:solidFill>
              <a:latin typeface="+mj-lt"/>
            </a:rPr>
            <a:t>번째 </a:t>
          </a:r>
          <a:r>
            <a:rPr lang="en-US" altLang="ko-KR" sz="1100" b="0" baseline="0">
              <a:solidFill>
                <a:srgbClr val="FF00FF"/>
              </a:solidFill>
              <a:latin typeface="+mj-lt"/>
            </a:rPr>
            <a:t>ADC_CLK </a:t>
          </a:r>
          <a:r>
            <a:rPr lang="ko-KR" altLang="en-US" sz="1100" b="0" baseline="0">
              <a:solidFill>
                <a:srgbClr val="FF00FF"/>
              </a:solidFill>
              <a:latin typeface="+mj-lt"/>
            </a:rPr>
            <a:t>에 출력</a:t>
          </a:r>
          <a:endParaRPr lang="en-US" altLang="ko-KR" sz="1100" b="0" baseline="0">
            <a:solidFill>
              <a:srgbClr val="FF00FF"/>
            </a:solidFill>
            <a:latin typeface="+mj-lt"/>
          </a:endParaRPr>
        </a:p>
        <a:p>
          <a:r>
            <a:rPr lang="en-US" altLang="ko-KR" sz="1100" b="0" baseline="0">
              <a:solidFill>
                <a:srgbClr val="FF00FF"/>
              </a:solidFill>
              <a:latin typeface="+mj-lt"/>
            </a:rPr>
            <a:t>        </a:t>
          </a:r>
          <a:r>
            <a:rPr lang="ko-KR" altLang="en-US" sz="1100" b="0" baseline="0">
              <a:solidFill>
                <a:srgbClr val="FF00FF"/>
              </a:solidFill>
              <a:latin typeface="+mj-lt"/>
            </a:rPr>
            <a:t>그 다음 </a:t>
          </a:r>
          <a:r>
            <a:rPr lang="en-US" altLang="ko-KR" sz="1100" b="0" baseline="0">
              <a:solidFill>
                <a:srgbClr val="FF00FF"/>
              </a:solidFill>
              <a:latin typeface="+mj-lt"/>
            </a:rPr>
            <a:t>, 2 ~ 33</a:t>
          </a:r>
          <a:r>
            <a:rPr lang="ko-KR" altLang="en-US" sz="1100" b="0" baseline="0">
              <a:solidFill>
                <a:srgbClr val="FF00FF"/>
              </a:solidFill>
              <a:latin typeface="+mj-lt"/>
            </a:rPr>
            <a:t>번째 </a:t>
          </a:r>
          <a:r>
            <a:rPr lang="en-US" altLang="ko-KR" sz="1100" b="0" baseline="0">
              <a:solidFill>
                <a:srgbClr val="FF00FF"/>
              </a:solidFill>
              <a:latin typeface="+mj-lt"/>
            </a:rPr>
            <a:t>ADC_CLK </a:t>
          </a:r>
          <a:r>
            <a:rPr lang="ko-KR" altLang="en-US" sz="1100" b="0" baseline="0">
              <a:solidFill>
                <a:srgbClr val="FF00FF"/>
              </a:solidFill>
              <a:latin typeface="+mj-lt"/>
            </a:rPr>
            <a:t>동안 누적 평균값을 </a:t>
          </a:r>
          <a:r>
            <a:rPr lang="en-US" altLang="ko-KR" sz="1100" b="0" baseline="0">
              <a:solidFill>
                <a:srgbClr val="FF00FF"/>
              </a:solidFill>
              <a:latin typeface="+mj-lt"/>
            </a:rPr>
            <a:t>34</a:t>
          </a:r>
          <a:r>
            <a:rPr lang="ko-KR" altLang="en-US" sz="1100" b="0" baseline="0">
              <a:solidFill>
                <a:srgbClr val="FF00FF"/>
              </a:solidFill>
              <a:latin typeface="+mj-lt"/>
            </a:rPr>
            <a:t>번째 </a:t>
          </a:r>
          <a:r>
            <a:rPr lang="en-US" altLang="ko-KR" sz="1100" b="0" baseline="0">
              <a:solidFill>
                <a:srgbClr val="FF00FF"/>
              </a:solidFill>
              <a:latin typeface="+mj-lt"/>
            </a:rPr>
            <a:t>ADC_CLK </a:t>
          </a:r>
          <a:r>
            <a:rPr lang="ko-KR" altLang="en-US" sz="1100" b="0" baseline="0">
              <a:solidFill>
                <a:srgbClr val="FF00FF"/>
              </a:solidFill>
              <a:latin typeface="+mj-lt"/>
            </a:rPr>
            <a:t>에 출력</a:t>
          </a:r>
          <a:endParaRPr lang="en-US" altLang="ko-KR" sz="1100" b="0" baseline="0">
            <a:solidFill>
              <a:srgbClr val="FF00FF"/>
            </a:solidFill>
            <a:latin typeface="+mj-lt"/>
          </a:endParaRPr>
        </a:p>
        <a:p>
          <a:r>
            <a:rPr lang="en-US" altLang="ko-KR" sz="1100" b="0" baseline="0">
              <a:solidFill>
                <a:srgbClr val="FF00FF"/>
              </a:solidFill>
              <a:effectLst/>
              <a:latin typeface="+mj-lt"/>
              <a:ea typeface="+mn-ea"/>
              <a:cs typeface="+mn-cs"/>
            </a:rPr>
            <a:t>        </a:t>
          </a:r>
          <a:r>
            <a:rPr lang="ko-KR" altLang="ko-KR" sz="1100" b="0" baseline="0">
              <a:solidFill>
                <a:srgbClr val="FF00FF"/>
              </a:solidFill>
              <a:effectLst/>
              <a:latin typeface="+mj-lt"/>
              <a:ea typeface="+mn-ea"/>
              <a:cs typeface="+mn-cs"/>
            </a:rPr>
            <a:t>그 다음 </a:t>
          </a:r>
          <a:r>
            <a:rPr lang="en-US" altLang="ko-KR" sz="1100" b="0" baseline="0">
              <a:solidFill>
                <a:srgbClr val="FF00FF"/>
              </a:solidFill>
              <a:effectLst/>
              <a:latin typeface="+mj-lt"/>
              <a:ea typeface="+mn-ea"/>
              <a:cs typeface="+mn-cs"/>
            </a:rPr>
            <a:t>, 3 ~ 34</a:t>
          </a:r>
          <a:r>
            <a:rPr lang="ko-KR" altLang="ko-KR" sz="1100" b="0" baseline="0">
              <a:solidFill>
                <a:srgbClr val="FF00FF"/>
              </a:solidFill>
              <a:effectLst/>
              <a:latin typeface="+mj-lt"/>
              <a:ea typeface="+mn-ea"/>
              <a:cs typeface="+mn-cs"/>
            </a:rPr>
            <a:t>번째 </a:t>
          </a:r>
          <a:r>
            <a:rPr lang="en-US" altLang="ko-KR" sz="1100" b="0" baseline="0">
              <a:solidFill>
                <a:srgbClr val="FF00FF"/>
              </a:solidFill>
              <a:effectLst/>
              <a:latin typeface="+mj-lt"/>
              <a:ea typeface="+mn-ea"/>
              <a:cs typeface="+mn-cs"/>
            </a:rPr>
            <a:t>ADC_CLK </a:t>
          </a:r>
          <a:r>
            <a:rPr lang="ko-KR" altLang="ko-KR" sz="1100" b="0" baseline="0">
              <a:solidFill>
                <a:srgbClr val="FF00FF"/>
              </a:solidFill>
              <a:effectLst/>
              <a:latin typeface="+mj-lt"/>
              <a:ea typeface="+mn-ea"/>
              <a:cs typeface="+mn-cs"/>
            </a:rPr>
            <a:t>동안 누적 평균값을 </a:t>
          </a:r>
          <a:r>
            <a:rPr lang="en-US" altLang="ko-KR" sz="1100" b="0" baseline="0">
              <a:solidFill>
                <a:srgbClr val="FF00FF"/>
              </a:solidFill>
              <a:effectLst/>
              <a:latin typeface="+mj-lt"/>
              <a:ea typeface="+mn-ea"/>
              <a:cs typeface="+mn-cs"/>
            </a:rPr>
            <a:t>35</a:t>
          </a:r>
          <a:r>
            <a:rPr lang="ko-KR" altLang="ko-KR" sz="1100" b="0" baseline="0">
              <a:solidFill>
                <a:srgbClr val="FF00FF"/>
              </a:solidFill>
              <a:effectLst/>
              <a:latin typeface="+mj-lt"/>
              <a:ea typeface="+mn-ea"/>
              <a:cs typeface="+mn-cs"/>
            </a:rPr>
            <a:t>번째 </a:t>
          </a:r>
          <a:r>
            <a:rPr lang="en-US" altLang="ko-KR" sz="1100" b="0" baseline="0">
              <a:solidFill>
                <a:srgbClr val="FF00FF"/>
              </a:solidFill>
              <a:effectLst/>
              <a:latin typeface="+mj-lt"/>
              <a:ea typeface="+mn-ea"/>
              <a:cs typeface="+mn-cs"/>
            </a:rPr>
            <a:t>ADC_CLK </a:t>
          </a:r>
          <a:r>
            <a:rPr lang="ko-KR" altLang="ko-KR" sz="1100" b="0" baseline="0">
              <a:solidFill>
                <a:srgbClr val="FF00FF"/>
              </a:solidFill>
              <a:effectLst/>
              <a:latin typeface="+mj-lt"/>
              <a:ea typeface="+mn-ea"/>
              <a:cs typeface="+mn-cs"/>
            </a:rPr>
            <a:t>에 출력</a:t>
          </a:r>
          <a:br>
            <a:rPr lang="en-US" altLang="ko-KR" sz="1100" b="0" baseline="0">
              <a:solidFill>
                <a:srgbClr val="FF00FF"/>
              </a:solidFill>
              <a:latin typeface="+mj-lt"/>
            </a:rPr>
          </a:br>
          <a:r>
            <a:rPr lang="en-US" altLang="ko-KR" sz="1100" b="0" baseline="0">
              <a:solidFill>
                <a:srgbClr val="FF00FF"/>
              </a:solidFill>
              <a:latin typeface="+mj-lt"/>
            </a:rPr>
            <a:t>       </a:t>
          </a:r>
          <a:r>
            <a:rPr lang="ko-KR" altLang="en-US" sz="1100" b="0" baseline="0">
              <a:solidFill>
                <a:srgbClr val="FF00FF"/>
              </a:solidFill>
              <a:latin typeface="+mj-lt"/>
            </a:rPr>
            <a:t>계속 </a:t>
          </a:r>
          <a:r>
            <a:rPr lang="en-US" altLang="ko-KR" sz="1100" b="0" baseline="0">
              <a:solidFill>
                <a:srgbClr val="FF00FF"/>
              </a:solidFill>
              <a:effectLst/>
              <a:latin typeface="+mn-lt"/>
              <a:ea typeface="+mn-ea"/>
              <a:cs typeface="+mn-cs"/>
            </a:rPr>
            <a:t>.......... </a:t>
          </a:r>
          <a:endParaRPr lang="en-US" altLang="ko-KR" sz="1100" b="0" baseline="0">
            <a:solidFill>
              <a:srgbClr val="FF00FF"/>
            </a:solidFill>
            <a:latin typeface="+mj-lt"/>
          </a:endParaRPr>
        </a:p>
        <a:p>
          <a:r>
            <a:rPr lang="en-US" altLang="ko-KR" sz="1100" b="0" baseline="0">
              <a:solidFill>
                <a:srgbClr val="FF00FF"/>
              </a:solidFill>
              <a:latin typeface="+mj-lt"/>
            </a:rPr>
            <a:t>      - </a:t>
          </a:r>
          <a:r>
            <a:rPr lang="ko-KR" altLang="en-US" sz="1100" b="0" baseline="0">
              <a:solidFill>
                <a:srgbClr val="FF00FF"/>
              </a:solidFill>
              <a:latin typeface="+mj-lt"/>
            </a:rPr>
            <a:t>순간 </a:t>
          </a:r>
          <a:r>
            <a:rPr lang="en-US" altLang="ko-KR" sz="1100" b="0" baseline="0">
              <a:solidFill>
                <a:srgbClr val="FF00FF"/>
              </a:solidFill>
              <a:latin typeface="+mj-lt"/>
            </a:rPr>
            <a:t>fluctuation</a:t>
          </a:r>
          <a:r>
            <a:rPr lang="ko-KR" altLang="en-US" sz="1100" b="0" baseline="0">
              <a:solidFill>
                <a:srgbClr val="FF00FF"/>
              </a:solidFill>
              <a:latin typeface="+mj-lt"/>
            </a:rPr>
            <a:t>이 발생하더라도 누적평균에 의해 출력값 변동 최소화</a:t>
          </a:r>
          <a:endParaRPr lang="en-US" altLang="ko-KR" sz="1100" b="0" baseline="0">
            <a:solidFill>
              <a:srgbClr val="FF00FF"/>
            </a:solidFill>
            <a:latin typeface="+mj-lt"/>
          </a:endParaRPr>
        </a:p>
        <a:p>
          <a:r>
            <a:rPr lang="en-US" altLang="ko-KR" sz="1100" b="0" baseline="0">
              <a:solidFill>
                <a:srgbClr val="FF00FF"/>
              </a:solidFill>
              <a:latin typeface="+mj-lt"/>
            </a:rPr>
            <a:t>      - valid</a:t>
          </a:r>
          <a:r>
            <a:rPr lang="ko-KR" altLang="en-US" sz="1100" b="0" baseline="0">
              <a:solidFill>
                <a:srgbClr val="FF00FF"/>
              </a:solidFill>
              <a:latin typeface="+mj-lt"/>
            </a:rPr>
            <a:t>한 변동값이 입력됐다면 실제 포화된 안정값이 출력되는 시간은 변동값이 크면 클 수록 커짐 </a:t>
          </a:r>
          <a:endParaRPr lang="en-US" altLang="ko-KR" sz="1100" b="0" baseline="0">
            <a:solidFill>
              <a:srgbClr val="FF00FF"/>
            </a:solidFill>
            <a:latin typeface="+mj-lt"/>
          </a:endParaRPr>
        </a:p>
        <a:p>
          <a:r>
            <a:rPr lang="en-US" altLang="ko-KR" sz="1400" b="0" baseline="0">
              <a:solidFill>
                <a:srgbClr val="FF00FF"/>
              </a:solidFill>
              <a:latin typeface="+mj-lt"/>
            </a:rPr>
            <a:t>       </a:t>
          </a:r>
          <a:endParaRPr lang="ko-KR" altLang="en-US" sz="1400" b="0">
            <a:solidFill>
              <a:srgbClr val="FF00FF"/>
            </a:solidFill>
            <a:latin typeface="+mj-lt"/>
          </a:endParaRPr>
        </a:p>
      </xdr:txBody>
    </xdr:sp>
    <xdr:clientData/>
  </xdr:twoCellAnchor>
  <xdr:twoCellAnchor>
    <xdr:from>
      <xdr:col>0</xdr:col>
      <xdr:colOff>552450</xdr:colOff>
      <xdr:row>42</xdr:row>
      <xdr:rowOff>171450</xdr:rowOff>
    </xdr:from>
    <xdr:to>
      <xdr:col>13</xdr:col>
      <xdr:colOff>158750</xdr:colOff>
      <xdr:row>50</xdr:row>
      <xdr:rowOff>107950</xdr:rowOff>
    </xdr:to>
    <xdr:sp macro="" textlink="">
      <xdr:nvSpPr>
        <xdr:cNvPr id="38" name="TextBox 37">
          <a:extLst>
            <a:ext uri="{FF2B5EF4-FFF2-40B4-BE49-F238E27FC236}">
              <a16:creationId xmlns:a16="http://schemas.microsoft.com/office/drawing/2014/main" id="{53702300-0904-4B04-B212-2337BC4784D1}"/>
            </a:ext>
          </a:extLst>
        </xdr:cNvPr>
        <xdr:cNvSpPr txBox="1"/>
      </xdr:nvSpPr>
      <xdr:spPr>
        <a:xfrm>
          <a:off x="552450" y="9239250"/>
          <a:ext cx="8191500" cy="16637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altLang="ko-KR" sz="2000" b="1">
              <a:solidFill>
                <a:srgbClr val="FF00FF"/>
              </a:solidFill>
              <a:latin typeface="+mj-lt"/>
            </a:rPr>
            <a:t>3. Fault detection</a:t>
          </a:r>
          <a:endParaRPr lang="en-US" altLang="ko-KR" sz="2000" b="1" baseline="0">
            <a:solidFill>
              <a:srgbClr val="FF00FF"/>
            </a:solidFill>
            <a:latin typeface="+mj-lt"/>
          </a:endParaRPr>
        </a:p>
        <a:p>
          <a:pPr marL="0" marR="0" lvl="0" indent="0" defTabSz="914400" eaLnBrk="1" fontAlgn="auto" latinLnBrk="0" hangingPunct="1">
            <a:lnSpc>
              <a:spcPct val="100000"/>
            </a:lnSpc>
            <a:spcBef>
              <a:spcPts val="0"/>
            </a:spcBef>
            <a:spcAft>
              <a:spcPts val="0"/>
            </a:spcAft>
            <a:buClrTx/>
            <a:buSzTx/>
            <a:buFontTx/>
            <a:buNone/>
            <a:tabLst/>
            <a:defRPr/>
          </a:pPr>
          <a:r>
            <a:rPr lang="en-US" altLang="ko-KR" sz="1100" b="0" baseline="0">
              <a:solidFill>
                <a:srgbClr val="FF00FF"/>
              </a:solidFill>
              <a:latin typeface="+mj-lt"/>
            </a:rPr>
            <a:t>      - fault sampling clk = 4 ADC_CLK (EVENT_CYC=0  </a:t>
          </a:r>
          <a:r>
            <a:rPr lang="en-US" altLang="ko-KR" sz="1100" b="0" baseline="0">
              <a:solidFill>
                <a:srgbClr val="FF00FF"/>
              </a:solidFill>
              <a:effectLst/>
              <a:latin typeface="+mj-lt"/>
              <a:ea typeface="+mn-ea"/>
              <a:cs typeface="+mn-cs"/>
            </a:rPr>
            <a:t>→ 4 * 128 * 16mhz = 32us, EVENT_CYC=0  → 4 * 128 * 16mhz = 16us)</a:t>
          </a:r>
        </a:p>
        <a:p>
          <a:pPr marL="0" marR="0" lvl="0" indent="0" defTabSz="914400" eaLnBrk="1" fontAlgn="auto" latinLnBrk="0" hangingPunct="1">
            <a:lnSpc>
              <a:spcPct val="100000"/>
            </a:lnSpc>
            <a:spcBef>
              <a:spcPts val="0"/>
            </a:spcBef>
            <a:spcAft>
              <a:spcPts val="0"/>
            </a:spcAft>
            <a:buClrTx/>
            <a:buSzTx/>
            <a:buFontTx/>
            <a:buNone/>
            <a:tabLst/>
            <a:defRPr/>
          </a:pPr>
          <a:r>
            <a:rPr lang="en-US" altLang="ko-KR" sz="1100" b="0" baseline="0">
              <a:solidFill>
                <a:srgbClr val="FF00FF"/>
              </a:solidFill>
              <a:effectLst/>
              <a:latin typeface="+mj-lt"/>
              <a:ea typeface="+mn-ea"/>
              <a:cs typeface="+mn-cs"/>
            </a:rPr>
            <a:t>      - OT err flag : TEMP &gt; TEMPTH </a:t>
          </a:r>
          <a:r>
            <a:rPr lang="ko-KR" altLang="en-US" sz="1100" b="0" baseline="0">
              <a:solidFill>
                <a:srgbClr val="FF00FF"/>
              </a:solidFill>
              <a:effectLst/>
              <a:latin typeface="+mj-lt"/>
              <a:ea typeface="+mn-ea"/>
              <a:cs typeface="+mn-cs"/>
            </a:rPr>
            <a:t>조건을 </a:t>
          </a:r>
          <a:r>
            <a:rPr lang="en-US" altLang="ko-KR" sz="1100" b="0" baseline="0">
              <a:solidFill>
                <a:srgbClr val="FF00FF"/>
              </a:solidFill>
              <a:effectLst/>
              <a:latin typeface="+mn-lt"/>
              <a:ea typeface="+mn-ea"/>
              <a:cs typeface="+mn-cs"/>
            </a:rPr>
            <a:t>fault sampling clk</a:t>
          </a:r>
          <a:r>
            <a:rPr lang="ko-KR" altLang="ko-KR" sz="1100" b="0" baseline="0">
              <a:solidFill>
                <a:srgbClr val="FF00FF"/>
              </a:solidFill>
              <a:effectLst/>
              <a:latin typeface="+mn-lt"/>
              <a:ea typeface="+mn-ea"/>
              <a:cs typeface="+mn-cs"/>
            </a:rPr>
            <a:t>으로 연속 </a:t>
          </a:r>
          <a:r>
            <a:rPr lang="en-US" altLang="ko-KR" sz="1100" b="0" baseline="0">
              <a:solidFill>
                <a:srgbClr val="FF00FF"/>
              </a:solidFill>
              <a:effectLst/>
              <a:latin typeface="+mn-lt"/>
              <a:ea typeface="+mn-ea"/>
              <a:cs typeface="+mn-cs"/>
            </a:rPr>
            <a:t>5</a:t>
          </a:r>
          <a:r>
            <a:rPr lang="ko-KR" altLang="ko-KR" sz="1100" b="0" baseline="0">
              <a:solidFill>
                <a:srgbClr val="FF00FF"/>
              </a:solidFill>
              <a:effectLst/>
              <a:latin typeface="+mn-lt"/>
              <a:ea typeface="+mn-ea"/>
              <a:cs typeface="+mn-cs"/>
            </a:rPr>
            <a:t>회 감지</a:t>
          </a:r>
          <a:r>
            <a:rPr lang="en-US" altLang="ko-KR" sz="1100" b="0" baseline="0">
              <a:solidFill>
                <a:srgbClr val="FF00FF"/>
              </a:solidFill>
              <a:effectLst/>
              <a:latin typeface="+mn-lt"/>
              <a:ea typeface="+mn-ea"/>
              <a:cs typeface="+mn-cs"/>
            </a:rPr>
            <a:t>,  TEMP &lt; TEMPHYS </a:t>
          </a:r>
          <a:r>
            <a:rPr lang="ko-KR" altLang="en-US" sz="1100" b="0" baseline="0">
              <a:solidFill>
                <a:srgbClr val="FF00FF"/>
              </a:solidFill>
              <a:effectLst/>
              <a:latin typeface="+mn-lt"/>
              <a:ea typeface="+mn-ea"/>
              <a:cs typeface="+mn-cs"/>
            </a:rPr>
            <a:t>조건이 될 때까지 유지</a:t>
          </a:r>
          <a:endParaRPr lang="en-US" altLang="ko-KR" sz="1100" b="0" baseline="0">
            <a:solidFill>
              <a:srgbClr val="FF00FF"/>
            </a:solidFill>
            <a:effectLst/>
            <a:latin typeface="+mj-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altLang="ko-KR" sz="1100" b="0" baseline="0">
              <a:solidFill>
                <a:srgbClr val="FF00FF"/>
              </a:solidFill>
              <a:effectLst/>
              <a:latin typeface="+mj-lt"/>
              <a:ea typeface="+mn-ea"/>
              <a:cs typeface="+mn-cs"/>
            </a:rPr>
            <a:t>      - UV err flag</a:t>
          </a:r>
          <a:r>
            <a:rPr lang="ko-KR" altLang="en-US" sz="1100" b="0" baseline="0">
              <a:solidFill>
                <a:srgbClr val="FF00FF"/>
              </a:solidFill>
              <a:effectLst/>
              <a:latin typeface="+mj-lt"/>
              <a:ea typeface="+mn-ea"/>
              <a:cs typeface="+mn-cs"/>
            </a:rPr>
            <a:t> </a:t>
          </a:r>
          <a:r>
            <a:rPr lang="en-US" altLang="ko-KR" sz="1100" b="0" baseline="0">
              <a:solidFill>
                <a:srgbClr val="FF00FF"/>
              </a:solidFill>
              <a:effectLst/>
              <a:latin typeface="+mj-lt"/>
              <a:ea typeface="+mn-ea"/>
              <a:cs typeface="+mn-cs"/>
            </a:rPr>
            <a:t>: analog part</a:t>
          </a:r>
          <a:r>
            <a:rPr lang="ko-KR" altLang="en-US" sz="1100" b="0" baseline="0">
              <a:solidFill>
                <a:srgbClr val="FF00FF"/>
              </a:solidFill>
              <a:effectLst/>
              <a:latin typeface="+mj-lt"/>
              <a:ea typeface="+mn-ea"/>
              <a:cs typeface="+mn-cs"/>
            </a:rPr>
            <a:t>로부터 입력되는 </a:t>
          </a:r>
          <a:r>
            <a:rPr lang="en-US" altLang="ko-KR" sz="1100" b="0" baseline="0">
              <a:solidFill>
                <a:srgbClr val="FF00FF"/>
              </a:solidFill>
              <a:effectLst/>
              <a:latin typeface="+mj-lt"/>
              <a:ea typeface="+mn-ea"/>
              <a:cs typeface="+mn-cs"/>
            </a:rPr>
            <a:t>UV fault flag</a:t>
          </a:r>
          <a:r>
            <a:rPr lang="ko-KR" altLang="en-US" sz="1100" b="0" baseline="0">
              <a:solidFill>
                <a:srgbClr val="FF00FF"/>
              </a:solidFill>
              <a:effectLst/>
              <a:latin typeface="+mj-lt"/>
              <a:ea typeface="+mn-ea"/>
              <a:cs typeface="+mn-cs"/>
            </a:rPr>
            <a:t>을 연속 </a:t>
          </a:r>
          <a:r>
            <a:rPr lang="en-US" altLang="ko-KR" sz="1100" b="0" baseline="0">
              <a:solidFill>
                <a:srgbClr val="FF00FF"/>
              </a:solidFill>
              <a:effectLst/>
              <a:latin typeface="+mj-lt"/>
              <a:ea typeface="+mn-ea"/>
              <a:cs typeface="+mn-cs"/>
            </a:rPr>
            <a:t>5</a:t>
          </a:r>
          <a:r>
            <a:rPr lang="ko-KR" altLang="en-US" sz="1100" b="0" baseline="0">
              <a:solidFill>
                <a:srgbClr val="FF00FF"/>
              </a:solidFill>
              <a:effectLst/>
              <a:latin typeface="+mj-lt"/>
              <a:ea typeface="+mn-ea"/>
              <a:cs typeface="+mn-cs"/>
            </a:rPr>
            <a:t>회 감지</a:t>
          </a:r>
          <a:r>
            <a:rPr lang="en-US" altLang="ko-KR" sz="1100" b="0" baseline="0">
              <a:solidFill>
                <a:srgbClr val="FF00FF"/>
              </a:solidFill>
              <a:effectLst/>
              <a:latin typeface="+mj-lt"/>
              <a:ea typeface="+mn-ea"/>
              <a:cs typeface="+mn-cs"/>
            </a:rPr>
            <a:t>, UV fault flag deassertion</a:t>
          </a:r>
          <a:r>
            <a:rPr lang="ko-KR" altLang="en-US" sz="1100" b="0" baseline="0">
              <a:solidFill>
                <a:srgbClr val="FF00FF"/>
              </a:solidFill>
              <a:effectLst/>
              <a:latin typeface="+mj-lt"/>
              <a:ea typeface="+mn-ea"/>
              <a:cs typeface="+mn-cs"/>
            </a:rPr>
            <a:t>될 때까지 유지</a:t>
          </a:r>
          <a:endParaRPr lang="en-US" altLang="ko-KR" sz="1100" b="0" baseline="0">
            <a:solidFill>
              <a:srgbClr val="FF00FF"/>
            </a:solidFill>
            <a:latin typeface="+mj-lt"/>
          </a:endParaRPr>
        </a:p>
        <a:p>
          <a:pPr eaLnBrk="1" fontAlgn="auto" latinLnBrk="0" hangingPunct="1"/>
          <a:r>
            <a:rPr lang="en-US" altLang="ko-KR" sz="1100" b="0" baseline="0">
              <a:solidFill>
                <a:srgbClr val="FF00FF"/>
              </a:solidFill>
              <a:effectLst/>
              <a:latin typeface="+mj-lt"/>
              <a:ea typeface="+mn-ea"/>
              <a:cs typeface="+mn-cs"/>
            </a:rPr>
            <a:t>      - SHORT/ OPEN detection : PWM_OUT </a:t>
          </a:r>
          <a:r>
            <a:rPr lang="ko-KR" altLang="en-US" sz="1100" b="0" baseline="0">
              <a:solidFill>
                <a:srgbClr val="FF00FF"/>
              </a:solidFill>
              <a:effectLst/>
              <a:latin typeface="+mj-lt"/>
              <a:ea typeface="+mn-ea"/>
              <a:cs typeface="+mn-cs"/>
            </a:rPr>
            <a:t>출력이 </a:t>
          </a:r>
          <a:r>
            <a:rPr lang="en-US" altLang="ko-KR" sz="1100" b="0" baseline="0">
              <a:solidFill>
                <a:srgbClr val="FF00FF"/>
              </a:solidFill>
              <a:effectLst/>
              <a:latin typeface="+mj-lt"/>
              <a:ea typeface="+mn-ea"/>
              <a:cs typeface="+mn-cs"/>
            </a:rPr>
            <a:t>high </a:t>
          </a:r>
          <a:r>
            <a:rPr lang="ko-KR" altLang="en-US" sz="1100" b="0" baseline="0">
              <a:solidFill>
                <a:srgbClr val="FF00FF"/>
              </a:solidFill>
              <a:effectLst/>
              <a:latin typeface="+mj-lt"/>
              <a:ea typeface="+mn-ea"/>
              <a:cs typeface="+mn-cs"/>
            </a:rPr>
            <a:t>인 구간에서만 감지 작동</a:t>
          </a:r>
          <a:r>
            <a:rPr lang="en-US" altLang="ko-KR" sz="1100" b="0" baseline="0">
              <a:solidFill>
                <a:srgbClr val="FF00FF"/>
              </a:solidFill>
              <a:effectLst/>
              <a:latin typeface="+mj-lt"/>
              <a:ea typeface="+mn-ea"/>
              <a:cs typeface="+mn-cs"/>
            </a:rPr>
            <a:t>, FPWM_DIV </a:t>
          </a:r>
          <a:r>
            <a:rPr lang="ko-KR" altLang="en-US" sz="1100" b="0" baseline="0">
              <a:solidFill>
                <a:srgbClr val="FF00FF"/>
              </a:solidFill>
              <a:effectLst/>
              <a:latin typeface="+mj-lt"/>
              <a:ea typeface="+mn-ea"/>
              <a:cs typeface="+mn-cs"/>
            </a:rPr>
            <a:t>설정된 </a:t>
          </a:r>
          <a:r>
            <a:rPr lang="en-US" altLang="ko-KR" sz="1100" b="0" baseline="0">
              <a:solidFill>
                <a:srgbClr val="FF00FF"/>
              </a:solidFill>
              <a:effectLst/>
              <a:latin typeface="+mj-lt"/>
              <a:ea typeface="+mn-ea"/>
              <a:cs typeface="+mn-cs"/>
            </a:rPr>
            <a:t>clk </a:t>
          </a:r>
          <a:r>
            <a:rPr lang="ko-KR" altLang="en-US" sz="1100" b="0" baseline="0">
              <a:solidFill>
                <a:srgbClr val="FF00FF"/>
              </a:solidFill>
              <a:effectLst/>
              <a:latin typeface="+mj-lt"/>
              <a:ea typeface="+mn-ea"/>
              <a:cs typeface="+mn-cs"/>
            </a:rPr>
            <a:t>기준으로 연속 </a:t>
          </a:r>
          <a:r>
            <a:rPr lang="en-US" altLang="ko-KR" sz="1100" b="0" baseline="0">
              <a:solidFill>
                <a:srgbClr val="FF00FF"/>
              </a:solidFill>
              <a:effectLst/>
              <a:latin typeface="+mj-lt"/>
              <a:ea typeface="+mn-ea"/>
              <a:cs typeface="+mn-cs"/>
            </a:rPr>
            <a:t>10</a:t>
          </a:r>
          <a:r>
            <a:rPr lang="ko-KR" altLang="en-US" sz="1100" b="0" baseline="0">
              <a:solidFill>
                <a:srgbClr val="FF00FF"/>
              </a:solidFill>
              <a:effectLst/>
              <a:latin typeface="+mj-lt"/>
              <a:ea typeface="+mn-ea"/>
              <a:cs typeface="+mn-cs"/>
            </a:rPr>
            <a:t>회 감지</a:t>
          </a:r>
          <a:endParaRPr lang="en-US" altLang="ko-KR" sz="1100" b="0" baseline="0">
            <a:solidFill>
              <a:srgbClr val="FF00FF"/>
            </a:solidFill>
            <a:effectLst/>
            <a:latin typeface="+mj-lt"/>
            <a:ea typeface="+mn-ea"/>
            <a:cs typeface="+mn-cs"/>
          </a:endParaRPr>
        </a:p>
        <a:p>
          <a:pPr eaLnBrk="1" fontAlgn="auto" latinLnBrk="0" hangingPunct="1"/>
          <a:r>
            <a:rPr lang="en-US" altLang="ko-KR" sz="1100" b="0" baseline="0">
              <a:solidFill>
                <a:srgbClr val="FF00FF"/>
              </a:solidFill>
              <a:effectLst/>
              <a:latin typeface="+mj-lt"/>
              <a:ea typeface="+mn-ea"/>
              <a:cs typeface="+mn-cs"/>
            </a:rPr>
            <a:t>                                                      (</a:t>
          </a:r>
          <a:r>
            <a:rPr lang="ko-KR" altLang="en-US" sz="1100" b="0" baseline="0">
              <a:solidFill>
                <a:srgbClr val="FF00FF"/>
              </a:solidFill>
              <a:effectLst/>
              <a:latin typeface="+mj-lt"/>
              <a:ea typeface="+mn-ea"/>
              <a:cs typeface="+mn-cs"/>
            </a:rPr>
            <a:t>최소 </a:t>
          </a:r>
          <a:r>
            <a:rPr lang="en-US" altLang="ko-KR" sz="1100" b="0" baseline="0">
              <a:solidFill>
                <a:srgbClr val="FF00FF"/>
              </a:solidFill>
              <a:effectLst/>
              <a:latin typeface="+mj-lt"/>
              <a:ea typeface="+mn-ea"/>
              <a:cs typeface="+mn-cs"/>
            </a:rPr>
            <a:t>pwm </a:t>
          </a:r>
          <a:r>
            <a:rPr lang="ko-KR" altLang="en-US" sz="1100" b="0" baseline="0">
              <a:solidFill>
                <a:srgbClr val="FF00FF"/>
              </a:solidFill>
              <a:effectLst/>
              <a:latin typeface="+mj-lt"/>
              <a:ea typeface="+mn-ea"/>
              <a:cs typeface="+mn-cs"/>
            </a:rPr>
            <a:t>갯수는 </a:t>
          </a:r>
          <a:r>
            <a:rPr lang="en-US" altLang="ko-KR" sz="1100" b="0" baseline="0">
              <a:solidFill>
                <a:srgbClr val="FF00FF"/>
              </a:solidFill>
              <a:effectLst/>
              <a:latin typeface="+mj-lt"/>
              <a:ea typeface="+mn-ea"/>
              <a:cs typeface="+mn-cs"/>
            </a:rPr>
            <a:t>FPWM_DIV </a:t>
          </a:r>
          <a:r>
            <a:rPr lang="ko-KR" altLang="en-US" sz="1100" b="0" baseline="0">
              <a:solidFill>
                <a:srgbClr val="FF00FF"/>
              </a:solidFill>
              <a:effectLst/>
              <a:latin typeface="+mj-lt"/>
              <a:ea typeface="+mn-ea"/>
              <a:cs typeface="+mn-cs"/>
            </a:rPr>
            <a:t>설정 </a:t>
          </a:r>
          <a:r>
            <a:rPr lang="en-US" altLang="ko-KR" sz="1100" b="0" baseline="0">
              <a:solidFill>
                <a:srgbClr val="FF00FF"/>
              </a:solidFill>
              <a:effectLst/>
              <a:latin typeface="+mj-lt"/>
              <a:ea typeface="+mn-ea"/>
              <a:cs typeface="+mn-cs"/>
            </a:rPr>
            <a:t>clk </a:t>
          </a:r>
          <a:r>
            <a:rPr lang="ko-KR" altLang="en-US" sz="1100" b="0" baseline="0">
              <a:solidFill>
                <a:srgbClr val="FF00FF"/>
              </a:solidFill>
              <a:effectLst/>
              <a:latin typeface="+mj-lt"/>
              <a:ea typeface="+mn-ea"/>
              <a:cs typeface="+mn-cs"/>
            </a:rPr>
            <a:t>기준으로 </a:t>
          </a:r>
          <a:r>
            <a:rPr lang="en-US" altLang="ko-KR" sz="1100" b="0" baseline="0">
              <a:solidFill>
                <a:srgbClr val="FF00FF"/>
              </a:solidFill>
              <a:effectLst/>
              <a:latin typeface="+mj-lt"/>
              <a:ea typeface="+mn-ea"/>
              <a:cs typeface="+mn-cs"/>
            </a:rPr>
            <a:t>12</a:t>
          </a:r>
          <a:r>
            <a:rPr lang="ko-KR" altLang="en-US" sz="1100" b="0" baseline="0">
              <a:solidFill>
                <a:srgbClr val="FF00FF"/>
              </a:solidFill>
              <a:effectLst/>
              <a:latin typeface="+mj-lt"/>
              <a:ea typeface="+mn-ea"/>
              <a:cs typeface="+mn-cs"/>
            </a:rPr>
            <a:t>개 예상</a:t>
          </a:r>
          <a:r>
            <a:rPr lang="en-US" altLang="ko-KR" sz="1100" b="0" baseline="0">
              <a:solidFill>
                <a:srgbClr val="FF00FF"/>
              </a:solidFill>
              <a:effectLst/>
              <a:latin typeface="+mj-lt"/>
              <a:ea typeface="+mn-ea"/>
              <a:cs typeface="+mn-cs"/>
            </a:rPr>
            <a:t>)</a:t>
          </a:r>
          <a:endParaRPr lang="ko-KR" altLang="ko-KR" sz="1100">
            <a:solidFill>
              <a:srgbClr val="FF00FF"/>
            </a:solidFill>
            <a:effectLst/>
            <a:latin typeface="+mj-lt"/>
          </a:endParaRPr>
        </a:p>
      </xdr:txBody>
    </xdr:sp>
    <xdr:clientData/>
  </xdr:twoCellAnchor>
</xdr:wsDr>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7ED4CE-8125-4E09-A484-A45EEF375BFC}">
  <dimension ref="B3:H62"/>
  <sheetViews>
    <sheetView zoomScaleNormal="100" workbookViewId="0">
      <selection activeCell="E53" sqref="E53"/>
    </sheetView>
  </sheetViews>
  <sheetFormatPr defaultRowHeight="16.899999999999999"/>
  <cols>
    <col min="2" max="2" width="43.5" bestFit="1" customWidth="1"/>
    <col min="3" max="4" width="23.5625" customWidth="1"/>
    <col min="5" max="5" width="33.0625" bestFit="1" customWidth="1"/>
    <col min="6" max="6" width="16.25" customWidth="1"/>
    <col min="8" max="8" width="9.8125" bestFit="1" customWidth="1"/>
  </cols>
  <sheetData>
    <row r="3" spans="2:8">
      <c r="B3" s="101" t="s">
        <v>0</v>
      </c>
      <c r="C3" s="101" t="s">
        <v>1</v>
      </c>
      <c r="D3" s="101"/>
      <c r="E3" s="101"/>
      <c r="F3" s="101"/>
      <c r="G3" s="101"/>
    </row>
    <row r="4" spans="2:8">
      <c r="B4" s="101"/>
      <c r="C4" s="1" t="s">
        <v>2</v>
      </c>
      <c r="D4" s="1" t="s">
        <v>3</v>
      </c>
      <c r="E4" s="102" t="s">
        <v>4</v>
      </c>
      <c r="F4" s="102"/>
      <c r="G4" s="102"/>
    </row>
    <row r="5" spans="2:8" ht="33.75">
      <c r="B5" s="101"/>
      <c r="C5" s="1" t="s">
        <v>2</v>
      </c>
      <c r="D5" s="1" t="s">
        <v>3</v>
      </c>
      <c r="E5" s="3" t="s">
        <v>5</v>
      </c>
      <c r="F5" s="19" t="s">
        <v>6</v>
      </c>
      <c r="G5" s="20" t="s">
        <v>7</v>
      </c>
    </row>
    <row r="6" spans="2:8" ht="50.65">
      <c r="B6" s="6" t="s">
        <v>8</v>
      </c>
      <c r="C6" s="7" t="s">
        <v>9</v>
      </c>
      <c r="D6" s="8" t="s">
        <v>10</v>
      </c>
      <c r="E6" s="7" t="s">
        <v>9</v>
      </c>
      <c r="F6" s="9" t="s">
        <v>11</v>
      </c>
      <c r="G6" s="8" t="s">
        <v>12</v>
      </c>
      <c r="H6" s="92" t="s">
        <v>13</v>
      </c>
    </row>
    <row r="7" spans="2:8" ht="33.75">
      <c r="B7" s="6" t="s">
        <v>14</v>
      </c>
      <c r="C7" s="7" t="s">
        <v>15</v>
      </c>
      <c r="D7" s="7" t="s">
        <v>16</v>
      </c>
      <c r="E7" s="7" t="s">
        <v>17</v>
      </c>
      <c r="F7" s="14" t="s">
        <v>11</v>
      </c>
      <c r="G7" s="7" t="s">
        <v>18</v>
      </c>
      <c r="H7" s="93"/>
    </row>
    <row r="8" spans="2:8">
      <c r="B8" s="97" t="s">
        <v>19</v>
      </c>
      <c r="C8" s="10" t="s">
        <v>20</v>
      </c>
      <c r="D8" s="11" t="s">
        <v>11</v>
      </c>
      <c r="E8" s="10" t="s">
        <v>20</v>
      </c>
      <c r="F8" s="11" t="s">
        <v>11</v>
      </c>
      <c r="G8" s="10" t="s">
        <v>21</v>
      </c>
      <c r="H8" s="93"/>
    </row>
    <row r="9" spans="2:8">
      <c r="B9" s="98"/>
      <c r="C9" s="12" t="s">
        <v>11</v>
      </c>
      <c r="D9" s="12" t="s">
        <v>11</v>
      </c>
      <c r="E9" s="13" t="s">
        <v>22</v>
      </c>
      <c r="F9" s="12" t="s">
        <v>11</v>
      </c>
      <c r="G9" s="13" t="s">
        <v>23</v>
      </c>
      <c r="H9" s="93"/>
    </row>
    <row r="10" spans="2:8">
      <c r="B10" s="97" t="s">
        <v>24</v>
      </c>
      <c r="C10" s="10" t="s">
        <v>25</v>
      </c>
      <c r="D10" s="11" t="s">
        <v>11</v>
      </c>
      <c r="E10" s="10" t="s">
        <v>26</v>
      </c>
      <c r="F10" s="15" t="s">
        <v>11</v>
      </c>
      <c r="G10" s="10" t="s">
        <v>27</v>
      </c>
      <c r="H10" s="93"/>
    </row>
    <row r="11" spans="2:8">
      <c r="B11" s="98"/>
      <c r="C11" s="12" t="s">
        <v>11</v>
      </c>
      <c r="D11" s="12" t="s">
        <v>11</v>
      </c>
      <c r="E11" s="13" t="s">
        <v>28</v>
      </c>
      <c r="F11" s="16" t="s">
        <v>11</v>
      </c>
      <c r="G11" s="13" t="s">
        <v>29</v>
      </c>
      <c r="H11" s="93"/>
    </row>
    <row r="12" spans="2:8">
      <c r="B12" s="97" t="s">
        <v>30</v>
      </c>
      <c r="C12" s="10" t="s">
        <v>31</v>
      </c>
      <c r="D12" s="11" t="s">
        <v>11</v>
      </c>
      <c r="E12" s="10" t="s">
        <v>32</v>
      </c>
      <c r="F12" s="15" t="s">
        <v>11</v>
      </c>
      <c r="G12" s="10" t="s">
        <v>33</v>
      </c>
      <c r="H12" s="93"/>
    </row>
    <row r="13" spans="2:8">
      <c r="B13" s="98"/>
      <c r="C13" s="12" t="s">
        <v>11</v>
      </c>
      <c r="D13" s="12" t="s">
        <v>11</v>
      </c>
      <c r="E13" s="13" t="s">
        <v>34</v>
      </c>
      <c r="F13" s="16" t="s">
        <v>11</v>
      </c>
      <c r="G13" s="13" t="s">
        <v>35</v>
      </c>
      <c r="H13" s="93"/>
    </row>
    <row r="14" spans="2:8">
      <c r="B14" s="97" t="s">
        <v>36</v>
      </c>
      <c r="C14" s="10" t="s">
        <v>37</v>
      </c>
      <c r="D14" s="11" t="s">
        <v>11</v>
      </c>
      <c r="E14" s="10" t="s">
        <v>38</v>
      </c>
      <c r="F14" s="15" t="s">
        <v>11</v>
      </c>
      <c r="G14" s="10" t="s">
        <v>39</v>
      </c>
      <c r="H14" s="93"/>
    </row>
    <row r="15" spans="2:8">
      <c r="B15" s="98"/>
      <c r="C15" s="12" t="s">
        <v>11</v>
      </c>
      <c r="D15" s="12" t="s">
        <v>11</v>
      </c>
      <c r="E15" s="13" t="s">
        <v>40</v>
      </c>
      <c r="F15" s="16" t="s">
        <v>11</v>
      </c>
      <c r="G15" s="13" t="s">
        <v>41</v>
      </c>
      <c r="H15" s="93"/>
    </row>
    <row r="16" spans="2:8">
      <c r="B16" s="99" t="s">
        <v>42</v>
      </c>
      <c r="C16" s="10" t="s">
        <v>43</v>
      </c>
      <c r="D16" s="11" t="s">
        <v>11</v>
      </c>
      <c r="E16" s="10" t="s">
        <v>44</v>
      </c>
      <c r="F16" s="10">
        <v>12</v>
      </c>
      <c r="G16" s="10" t="s">
        <v>45</v>
      </c>
      <c r="H16" s="93"/>
    </row>
    <row r="17" spans="2:8">
      <c r="B17" s="96"/>
      <c r="C17" s="12" t="s">
        <v>11</v>
      </c>
      <c r="D17" s="12" t="s">
        <v>11</v>
      </c>
      <c r="E17" s="13" t="s">
        <v>46</v>
      </c>
      <c r="F17" s="13">
        <v>12</v>
      </c>
      <c r="G17" s="13" t="s">
        <v>47</v>
      </c>
      <c r="H17" s="93"/>
    </row>
    <row r="18" spans="2:8">
      <c r="B18" s="99" t="s">
        <v>48</v>
      </c>
      <c r="C18" s="11" t="s">
        <v>11</v>
      </c>
      <c r="D18" s="11" t="s">
        <v>11</v>
      </c>
      <c r="E18" s="32" t="s">
        <v>49</v>
      </c>
      <c r="F18" s="32">
        <v>12</v>
      </c>
      <c r="G18" s="29" t="s">
        <v>50</v>
      </c>
      <c r="H18" s="93"/>
    </row>
    <row r="19" spans="2:8">
      <c r="B19" s="95"/>
      <c r="C19" s="33" t="s">
        <v>11</v>
      </c>
      <c r="D19" s="33" t="s">
        <v>11</v>
      </c>
      <c r="E19" s="4" t="s">
        <v>51</v>
      </c>
      <c r="F19" s="4">
        <v>12</v>
      </c>
      <c r="G19" s="31" t="s">
        <v>52</v>
      </c>
      <c r="H19" s="93"/>
    </row>
    <row r="20" spans="2:8">
      <c r="B20" s="99" t="s">
        <v>53</v>
      </c>
      <c r="C20" s="11" t="s">
        <v>11</v>
      </c>
      <c r="D20" s="10" t="s">
        <v>54</v>
      </c>
      <c r="E20" s="10" t="s">
        <v>55</v>
      </c>
      <c r="F20" s="10">
        <v>24</v>
      </c>
      <c r="G20" s="29" t="s">
        <v>56</v>
      </c>
      <c r="H20" s="93"/>
    </row>
    <row r="21" spans="2:8">
      <c r="B21" s="96"/>
      <c r="C21" s="12" t="s">
        <v>11</v>
      </c>
      <c r="D21" s="16" t="s">
        <v>11</v>
      </c>
      <c r="E21" s="13" t="s">
        <v>57</v>
      </c>
      <c r="F21" s="13">
        <v>24</v>
      </c>
      <c r="G21" s="26" t="s">
        <v>58</v>
      </c>
      <c r="H21" s="93"/>
    </row>
    <row r="22" spans="2:8">
      <c r="B22" s="95" t="s">
        <v>59</v>
      </c>
      <c r="C22" s="33" t="s">
        <v>11</v>
      </c>
      <c r="D22" s="2" t="s">
        <v>60</v>
      </c>
      <c r="E22" s="4" t="s">
        <v>61</v>
      </c>
      <c r="F22" s="4">
        <v>24</v>
      </c>
      <c r="G22" s="2" t="s">
        <v>62</v>
      </c>
      <c r="H22" s="93"/>
    </row>
    <row r="23" spans="2:8">
      <c r="B23" s="96"/>
      <c r="C23" s="12" t="s">
        <v>11</v>
      </c>
      <c r="D23" s="12" t="s">
        <v>11</v>
      </c>
      <c r="E23" s="18" t="s">
        <v>63</v>
      </c>
      <c r="F23" s="18">
        <v>24</v>
      </c>
      <c r="G23" s="13" t="s">
        <v>64</v>
      </c>
      <c r="H23" s="93"/>
    </row>
    <row r="24" spans="2:8">
      <c r="B24" s="99" t="s">
        <v>65</v>
      </c>
      <c r="C24" s="11" t="s">
        <v>66</v>
      </c>
      <c r="D24" s="11" t="s">
        <v>11</v>
      </c>
      <c r="E24" s="32" t="s">
        <v>67</v>
      </c>
      <c r="F24" s="32">
        <v>12</v>
      </c>
      <c r="G24" s="29" t="s">
        <v>68</v>
      </c>
      <c r="H24" s="93"/>
    </row>
    <row r="25" spans="2:8">
      <c r="B25" s="96"/>
      <c r="C25" s="12" t="s">
        <v>11</v>
      </c>
      <c r="D25" s="12" t="s">
        <v>11</v>
      </c>
      <c r="E25" s="18" t="s">
        <v>69</v>
      </c>
      <c r="F25" s="18">
        <v>12</v>
      </c>
      <c r="G25" s="26" t="s">
        <v>70</v>
      </c>
      <c r="H25" s="93"/>
    </row>
    <row r="26" spans="2:8">
      <c r="B26" s="99" t="s">
        <v>71</v>
      </c>
      <c r="C26" s="11" t="s">
        <v>66</v>
      </c>
      <c r="D26" s="11" t="s">
        <v>11</v>
      </c>
      <c r="E26" s="32" t="s">
        <v>72</v>
      </c>
      <c r="F26" s="32">
        <v>12</v>
      </c>
      <c r="G26" s="29" t="s">
        <v>73</v>
      </c>
      <c r="H26" s="93"/>
    </row>
    <row r="27" spans="2:8">
      <c r="B27" s="96"/>
      <c r="C27" s="12" t="s">
        <v>11</v>
      </c>
      <c r="D27" s="12" t="s">
        <v>11</v>
      </c>
      <c r="E27" s="18" t="s">
        <v>74</v>
      </c>
      <c r="F27" s="18">
        <v>12</v>
      </c>
      <c r="G27" s="26" t="s">
        <v>75</v>
      </c>
      <c r="H27" s="93"/>
    </row>
    <row r="28" spans="2:8">
      <c r="B28" s="24" t="s">
        <v>76</v>
      </c>
      <c r="C28" s="11" t="s">
        <v>11</v>
      </c>
      <c r="D28" s="100" t="s">
        <v>77</v>
      </c>
      <c r="E28" s="10" t="s">
        <v>76</v>
      </c>
      <c r="F28" s="32">
        <v>12</v>
      </c>
      <c r="G28" s="29" t="s">
        <v>78</v>
      </c>
      <c r="H28" s="93"/>
    </row>
    <row r="29" spans="2:8">
      <c r="B29" s="30" t="s">
        <v>79</v>
      </c>
      <c r="C29" s="33" t="s">
        <v>11</v>
      </c>
      <c r="D29" s="90"/>
      <c r="E29" s="2" t="s">
        <v>79</v>
      </c>
      <c r="F29" s="4">
        <v>12</v>
      </c>
      <c r="G29" s="31" t="s">
        <v>80</v>
      </c>
      <c r="H29" s="93"/>
    </row>
    <row r="30" spans="2:8">
      <c r="B30" s="30" t="s">
        <v>81</v>
      </c>
      <c r="C30" s="33" t="s">
        <v>11</v>
      </c>
      <c r="D30" s="90"/>
      <c r="E30" s="2" t="s">
        <v>81</v>
      </c>
      <c r="F30" s="4">
        <v>12</v>
      </c>
      <c r="G30" s="31" t="s">
        <v>82</v>
      </c>
      <c r="H30" s="93"/>
    </row>
    <row r="31" spans="2:8">
      <c r="B31" s="30" t="s">
        <v>83</v>
      </c>
      <c r="C31" s="33" t="s">
        <v>11</v>
      </c>
      <c r="D31" s="90"/>
      <c r="E31" s="2" t="s">
        <v>83</v>
      </c>
      <c r="F31" s="4">
        <v>12</v>
      </c>
      <c r="G31" s="31" t="s">
        <v>84</v>
      </c>
      <c r="H31" s="93"/>
    </row>
    <row r="32" spans="2:8">
      <c r="B32" s="30" t="s">
        <v>85</v>
      </c>
      <c r="C32" s="33" t="s">
        <v>11</v>
      </c>
      <c r="D32" s="90"/>
      <c r="E32" s="2" t="s">
        <v>85</v>
      </c>
      <c r="F32" s="4">
        <v>12</v>
      </c>
      <c r="G32" s="31" t="s">
        <v>86</v>
      </c>
      <c r="H32" s="93"/>
    </row>
    <row r="33" spans="2:8">
      <c r="B33" s="30" t="s">
        <v>87</v>
      </c>
      <c r="C33" s="33" t="s">
        <v>11</v>
      </c>
      <c r="D33" s="90"/>
      <c r="E33" s="2" t="s">
        <v>87</v>
      </c>
      <c r="F33" s="4">
        <v>12</v>
      </c>
      <c r="G33" s="31" t="s">
        <v>88</v>
      </c>
      <c r="H33" s="93"/>
    </row>
    <row r="34" spans="2:8">
      <c r="B34" s="30" t="s">
        <v>89</v>
      </c>
      <c r="C34" s="33" t="s">
        <v>11</v>
      </c>
      <c r="D34" s="90"/>
      <c r="E34" s="2" t="s">
        <v>89</v>
      </c>
      <c r="F34" s="4">
        <v>12</v>
      </c>
      <c r="G34" s="31" t="s">
        <v>90</v>
      </c>
      <c r="H34" s="93"/>
    </row>
    <row r="35" spans="2:8">
      <c r="B35" s="30" t="s">
        <v>91</v>
      </c>
      <c r="C35" s="33" t="s">
        <v>11</v>
      </c>
      <c r="D35" s="90"/>
      <c r="E35" s="2" t="s">
        <v>91</v>
      </c>
      <c r="F35" s="4">
        <v>12</v>
      </c>
      <c r="G35" s="31" t="s">
        <v>92</v>
      </c>
      <c r="H35" s="93"/>
    </row>
    <row r="36" spans="2:8">
      <c r="B36" s="30" t="s">
        <v>93</v>
      </c>
      <c r="C36" s="33" t="s">
        <v>11</v>
      </c>
      <c r="D36" s="90"/>
      <c r="E36" s="2" t="s">
        <v>93</v>
      </c>
      <c r="F36" s="4">
        <v>12</v>
      </c>
      <c r="G36" s="31" t="s">
        <v>94</v>
      </c>
      <c r="H36" s="93"/>
    </row>
    <row r="37" spans="2:8">
      <c r="B37" s="25" t="s">
        <v>95</v>
      </c>
      <c r="C37" s="12" t="s">
        <v>11</v>
      </c>
      <c r="D37" s="91"/>
      <c r="E37" s="13" t="s">
        <v>95</v>
      </c>
      <c r="F37" s="18">
        <v>12</v>
      </c>
      <c r="G37" s="26" t="s">
        <v>96</v>
      </c>
      <c r="H37" s="94"/>
    </row>
    <row r="38" spans="2:8" ht="16.5" customHeight="1">
      <c r="B38" s="30" t="s">
        <v>97</v>
      </c>
      <c r="C38" s="33" t="s">
        <v>11</v>
      </c>
      <c r="D38" s="90" t="s">
        <v>98</v>
      </c>
      <c r="E38" s="2" t="s">
        <v>97</v>
      </c>
      <c r="F38" s="2">
        <v>12</v>
      </c>
      <c r="G38" s="31" t="s">
        <v>99</v>
      </c>
      <c r="H38" s="92" t="s">
        <v>100</v>
      </c>
    </row>
    <row r="39" spans="2:8">
      <c r="B39" s="30" t="s">
        <v>101</v>
      </c>
      <c r="C39" s="33" t="s">
        <v>11</v>
      </c>
      <c r="D39" s="90"/>
      <c r="E39" s="2" t="s">
        <v>101</v>
      </c>
      <c r="F39" s="2">
        <v>12</v>
      </c>
      <c r="G39" s="31" t="s">
        <v>102</v>
      </c>
      <c r="H39" s="93"/>
    </row>
    <row r="40" spans="2:8">
      <c r="B40" s="30" t="s">
        <v>103</v>
      </c>
      <c r="C40" s="33" t="s">
        <v>11</v>
      </c>
      <c r="D40" s="90"/>
      <c r="E40" s="2" t="s">
        <v>103</v>
      </c>
      <c r="F40" s="2">
        <v>12</v>
      </c>
      <c r="G40" s="31" t="s">
        <v>104</v>
      </c>
      <c r="H40" s="93"/>
    </row>
    <row r="41" spans="2:8">
      <c r="B41" s="30" t="s">
        <v>105</v>
      </c>
      <c r="C41" s="33" t="s">
        <v>11</v>
      </c>
      <c r="D41" s="90"/>
      <c r="E41" s="2" t="s">
        <v>105</v>
      </c>
      <c r="F41" s="2">
        <v>12</v>
      </c>
      <c r="G41" s="31" t="s">
        <v>106</v>
      </c>
      <c r="H41" s="93"/>
    </row>
    <row r="42" spans="2:8">
      <c r="B42" s="25" t="s">
        <v>107</v>
      </c>
      <c r="C42" s="12" t="s">
        <v>11</v>
      </c>
      <c r="D42" s="91"/>
      <c r="E42" s="13" t="s">
        <v>107</v>
      </c>
      <c r="F42" s="13">
        <v>12</v>
      </c>
      <c r="G42" s="26" t="s">
        <v>108</v>
      </c>
      <c r="H42" s="93"/>
    </row>
    <row r="43" spans="2:8">
      <c r="B43" s="24" t="s">
        <v>109</v>
      </c>
      <c r="C43" s="11" t="s">
        <v>11</v>
      </c>
      <c r="D43" s="11" t="s">
        <v>11</v>
      </c>
      <c r="E43" s="10" t="s">
        <v>109</v>
      </c>
      <c r="F43" s="10">
        <v>12</v>
      </c>
      <c r="G43" s="29" t="s">
        <v>110</v>
      </c>
      <c r="H43" s="93"/>
    </row>
    <row r="44" spans="2:8">
      <c r="B44" s="30" t="s">
        <v>111</v>
      </c>
      <c r="C44" s="33" t="s">
        <v>11</v>
      </c>
      <c r="D44" s="33" t="s">
        <v>11</v>
      </c>
      <c r="E44" s="2" t="s">
        <v>111</v>
      </c>
      <c r="F44" s="2">
        <v>12</v>
      </c>
      <c r="G44" s="31" t="s">
        <v>112</v>
      </c>
      <c r="H44" s="93"/>
    </row>
    <row r="45" spans="2:8" ht="33.75">
      <c r="B45" s="30" t="s">
        <v>113</v>
      </c>
      <c r="C45" s="33" t="s">
        <v>11</v>
      </c>
      <c r="D45" s="4" t="s">
        <v>114</v>
      </c>
      <c r="E45" s="2" t="s">
        <v>113</v>
      </c>
      <c r="F45" s="2">
        <v>12</v>
      </c>
      <c r="G45" s="31" t="s">
        <v>115</v>
      </c>
      <c r="H45" s="93"/>
    </row>
    <row r="46" spans="2:8">
      <c r="B46" s="30" t="s">
        <v>116</v>
      </c>
      <c r="C46" s="33" t="s">
        <v>11</v>
      </c>
      <c r="D46" s="90" t="s">
        <v>117</v>
      </c>
      <c r="E46" s="2" t="s">
        <v>116</v>
      </c>
      <c r="F46" s="2">
        <v>12</v>
      </c>
      <c r="G46" s="31" t="s">
        <v>118</v>
      </c>
      <c r="H46" s="93"/>
    </row>
    <row r="47" spans="2:8">
      <c r="B47" s="30" t="s">
        <v>119</v>
      </c>
      <c r="C47" s="33" t="s">
        <v>11</v>
      </c>
      <c r="D47" s="90"/>
      <c r="E47" s="2" t="s">
        <v>119</v>
      </c>
      <c r="F47" s="2">
        <v>12</v>
      </c>
      <c r="G47" s="31" t="s">
        <v>120</v>
      </c>
      <c r="H47" s="93"/>
    </row>
    <row r="48" spans="2:8">
      <c r="B48" s="30" t="s">
        <v>121</v>
      </c>
      <c r="C48" s="33" t="s">
        <v>11</v>
      </c>
      <c r="D48" s="90"/>
      <c r="E48" s="2" t="s">
        <v>121</v>
      </c>
      <c r="F48" s="2">
        <v>12</v>
      </c>
      <c r="G48" s="31" t="s">
        <v>122</v>
      </c>
      <c r="H48" s="93"/>
    </row>
    <row r="49" spans="2:8">
      <c r="B49" s="30" t="s">
        <v>123</v>
      </c>
      <c r="C49" s="33" t="s">
        <v>11</v>
      </c>
      <c r="D49" s="90"/>
      <c r="E49" s="2" t="s">
        <v>123</v>
      </c>
      <c r="F49" s="2">
        <v>12</v>
      </c>
      <c r="G49" s="31" t="s">
        <v>124</v>
      </c>
      <c r="H49" s="93"/>
    </row>
    <row r="50" spans="2:8">
      <c r="B50" s="30" t="s">
        <v>125</v>
      </c>
      <c r="C50" s="33" t="s">
        <v>11</v>
      </c>
      <c r="D50" s="2" t="s">
        <v>126</v>
      </c>
      <c r="E50" s="2" t="s">
        <v>125</v>
      </c>
      <c r="F50" s="2">
        <v>12</v>
      </c>
      <c r="G50" s="31" t="s">
        <v>127</v>
      </c>
      <c r="H50" s="93"/>
    </row>
    <row r="51" spans="2:8">
      <c r="B51" s="30" t="s">
        <v>128</v>
      </c>
      <c r="C51" s="33" t="s">
        <v>11</v>
      </c>
      <c r="D51" s="2" t="s">
        <v>129</v>
      </c>
      <c r="E51" s="2" t="s">
        <v>128</v>
      </c>
      <c r="F51" s="2">
        <v>12</v>
      </c>
      <c r="G51" s="31" t="s">
        <v>130</v>
      </c>
      <c r="H51" s="93"/>
    </row>
    <row r="52" spans="2:8">
      <c r="B52" s="30" t="s">
        <v>131</v>
      </c>
      <c r="C52" s="33" t="s">
        <v>11</v>
      </c>
      <c r="D52" s="2" t="s">
        <v>132</v>
      </c>
      <c r="E52" s="2" t="s">
        <v>131</v>
      </c>
      <c r="F52" s="2">
        <v>12</v>
      </c>
      <c r="G52" s="31" t="s">
        <v>133</v>
      </c>
      <c r="H52" s="93"/>
    </row>
    <row r="53" spans="2:8">
      <c r="B53" s="30" t="s">
        <v>134</v>
      </c>
      <c r="C53" s="33" t="s">
        <v>11</v>
      </c>
      <c r="D53" s="2" t="s">
        <v>135</v>
      </c>
      <c r="E53" s="2" t="s">
        <v>134</v>
      </c>
      <c r="F53" s="2">
        <v>12</v>
      </c>
      <c r="G53" s="31" t="s">
        <v>136</v>
      </c>
      <c r="H53" s="93"/>
    </row>
    <row r="54" spans="2:8">
      <c r="B54" s="30" t="s">
        <v>137</v>
      </c>
      <c r="C54" s="33" t="s">
        <v>11</v>
      </c>
      <c r="D54" s="2" t="s">
        <v>138</v>
      </c>
      <c r="E54" s="2" t="s">
        <v>137</v>
      </c>
      <c r="F54" s="2">
        <v>12</v>
      </c>
      <c r="G54" s="31" t="s">
        <v>139</v>
      </c>
      <c r="H54" s="93"/>
    </row>
    <row r="55" spans="2:8">
      <c r="B55" s="30" t="s">
        <v>140</v>
      </c>
      <c r="C55" s="33"/>
      <c r="D55" s="33" t="s">
        <v>141</v>
      </c>
      <c r="E55" s="2" t="s">
        <v>140</v>
      </c>
      <c r="F55" s="2">
        <v>12</v>
      </c>
      <c r="G55" s="31" t="s">
        <v>142</v>
      </c>
      <c r="H55" s="93"/>
    </row>
    <row r="56" spans="2:8">
      <c r="B56" s="25" t="s">
        <v>143</v>
      </c>
      <c r="C56" s="12" t="s">
        <v>11</v>
      </c>
      <c r="D56" s="12" t="s">
        <v>11</v>
      </c>
      <c r="E56" s="13" t="s">
        <v>143</v>
      </c>
      <c r="F56" s="13">
        <v>12</v>
      </c>
      <c r="G56" s="26" t="s">
        <v>144</v>
      </c>
      <c r="H56" s="94"/>
    </row>
    <row r="57" spans="2:8" ht="33.75">
      <c r="B57" s="5" t="s">
        <v>145</v>
      </c>
      <c r="C57" s="1" t="s">
        <v>146</v>
      </c>
      <c r="D57" s="1"/>
      <c r="E57" s="2"/>
      <c r="F57" s="2"/>
      <c r="G57" s="2"/>
    </row>
    <row r="58" spans="2:8">
      <c r="B58" s="5" t="s">
        <v>147</v>
      </c>
      <c r="C58" s="1" t="s">
        <v>148</v>
      </c>
      <c r="D58" s="1"/>
      <c r="E58" s="2"/>
      <c r="F58" s="2"/>
      <c r="G58" s="2"/>
    </row>
    <row r="59" spans="2:8">
      <c r="B59" s="1" t="s">
        <v>149</v>
      </c>
      <c r="C59" s="1"/>
      <c r="D59" s="1" t="s">
        <v>150</v>
      </c>
      <c r="E59" s="4"/>
      <c r="F59" s="2"/>
      <c r="G59" s="2"/>
    </row>
    <row r="60" spans="2:8">
      <c r="B60" s="1" t="s">
        <v>151</v>
      </c>
      <c r="C60" s="1"/>
      <c r="D60" s="1" t="s">
        <v>152</v>
      </c>
      <c r="E60" s="4"/>
      <c r="F60" s="2"/>
      <c r="G60" s="2"/>
    </row>
    <row r="61" spans="2:8">
      <c r="B61" s="1" t="s">
        <v>153</v>
      </c>
      <c r="C61" s="1"/>
      <c r="D61" s="1" t="s">
        <v>154</v>
      </c>
      <c r="E61" s="4"/>
      <c r="F61" s="2"/>
      <c r="G61" s="2"/>
    </row>
    <row r="62" spans="2:8">
      <c r="B62" s="1" t="s">
        <v>155</v>
      </c>
      <c r="C62" s="1" t="s">
        <v>11</v>
      </c>
      <c r="D62" s="1" t="s">
        <v>156</v>
      </c>
    </row>
  </sheetData>
  <mergeCells count="18">
    <mergeCell ref="B3:B5"/>
    <mergeCell ref="E4:G4"/>
    <mergeCell ref="C3:G3"/>
    <mergeCell ref="B10:B11"/>
    <mergeCell ref="B12:B13"/>
    <mergeCell ref="D38:D42"/>
    <mergeCell ref="H38:H56"/>
    <mergeCell ref="B22:B23"/>
    <mergeCell ref="B8:B9"/>
    <mergeCell ref="B14:B15"/>
    <mergeCell ref="B16:B17"/>
    <mergeCell ref="B20:B21"/>
    <mergeCell ref="B24:B25"/>
    <mergeCell ref="B26:B27"/>
    <mergeCell ref="D46:D49"/>
    <mergeCell ref="B18:B19"/>
    <mergeCell ref="D28:D37"/>
    <mergeCell ref="H6:H37"/>
  </mergeCells>
  <phoneticPr fontId="1" type="noConversion"/>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D60DB-9D62-488B-833C-1A406B4B978A}">
  <dimension ref="B3:J51"/>
  <sheetViews>
    <sheetView zoomScaleNormal="100" workbookViewId="0">
      <selection activeCell="G33" sqref="G33"/>
    </sheetView>
  </sheetViews>
  <sheetFormatPr defaultRowHeight="16.899999999999999"/>
  <cols>
    <col min="2" max="2" width="43.5" bestFit="1" customWidth="1"/>
    <col min="3" max="3" width="23.5625" customWidth="1"/>
    <col min="4" max="4" width="23.5625" bestFit="1" customWidth="1"/>
    <col min="5" max="5" width="33.0625" bestFit="1" customWidth="1"/>
    <col min="6" max="6" width="16.25" customWidth="1"/>
    <col min="8" max="8" width="9.8125" bestFit="1" customWidth="1"/>
  </cols>
  <sheetData>
    <row r="3" spans="2:10">
      <c r="B3" s="101" t="s">
        <v>0</v>
      </c>
      <c r="C3" s="101" t="s">
        <v>157</v>
      </c>
      <c r="D3" s="101"/>
      <c r="E3" s="101"/>
      <c r="F3" s="101"/>
      <c r="G3" s="101"/>
    </row>
    <row r="4" spans="2:10">
      <c r="B4" s="101"/>
      <c r="C4" s="1" t="s">
        <v>2</v>
      </c>
      <c r="D4" s="1" t="s">
        <v>3</v>
      </c>
      <c r="E4" s="102" t="s">
        <v>4</v>
      </c>
      <c r="F4" s="102"/>
      <c r="G4" s="102"/>
    </row>
    <row r="5" spans="2:10" ht="33.75">
      <c r="B5" s="101"/>
      <c r="C5" s="1" t="s">
        <v>2</v>
      </c>
      <c r="D5" s="1" t="s">
        <v>3</v>
      </c>
      <c r="E5" s="3" t="s">
        <v>5</v>
      </c>
      <c r="F5" s="19" t="s">
        <v>6</v>
      </c>
      <c r="G5" s="20" t="s">
        <v>7</v>
      </c>
    </row>
    <row r="6" spans="2:10" ht="16.5" customHeight="1">
      <c r="B6" s="17" t="s">
        <v>158</v>
      </c>
      <c r="C6" s="10" t="s">
        <v>159</v>
      </c>
      <c r="D6" s="11" t="s">
        <v>11</v>
      </c>
      <c r="E6" s="103" t="s">
        <v>160</v>
      </c>
      <c r="F6" s="105">
        <v>12</v>
      </c>
      <c r="G6" s="103" t="s">
        <v>161</v>
      </c>
      <c r="H6" s="92" t="s">
        <v>13</v>
      </c>
      <c r="J6" s="2"/>
    </row>
    <row r="7" spans="2:10" ht="16.5" customHeight="1">
      <c r="B7" s="17" t="s">
        <v>162</v>
      </c>
      <c r="C7" s="10" t="s">
        <v>163</v>
      </c>
      <c r="D7" s="11" t="s">
        <v>11</v>
      </c>
      <c r="E7" s="104"/>
      <c r="F7" s="106"/>
      <c r="G7" s="104"/>
      <c r="H7" s="93"/>
      <c r="J7" s="2"/>
    </row>
    <row r="8" spans="2:10" ht="16.5" customHeight="1">
      <c r="B8" s="17" t="s">
        <v>164</v>
      </c>
      <c r="C8" s="10" t="s">
        <v>165</v>
      </c>
      <c r="D8" s="11" t="s">
        <v>11</v>
      </c>
      <c r="E8" s="10" t="s">
        <v>166</v>
      </c>
      <c r="F8" s="15">
        <v>12</v>
      </c>
      <c r="G8" s="10" t="s">
        <v>167</v>
      </c>
      <c r="H8" s="93"/>
      <c r="J8" s="2"/>
    </row>
    <row r="9" spans="2:10" ht="16.5" customHeight="1">
      <c r="B9" s="6" t="s">
        <v>168</v>
      </c>
      <c r="C9" s="7" t="s">
        <v>169</v>
      </c>
      <c r="D9" s="8" t="s">
        <v>170</v>
      </c>
      <c r="E9" s="7" t="s">
        <v>171</v>
      </c>
      <c r="F9" s="9">
        <v>12</v>
      </c>
      <c r="G9" s="8" t="s">
        <v>172</v>
      </c>
      <c r="H9" s="93"/>
      <c r="J9" s="2"/>
    </row>
    <row r="10" spans="2:10" ht="16.5" customHeight="1">
      <c r="B10" s="17" t="s">
        <v>173</v>
      </c>
      <c r="C10" s="10" t="s">
        <v>174</v>
      </c>
      <c r="D10" s="11" t="s">
        <v>11</v>
      </c>
      <c r="E10" s="10" t="s">
        <v>175</v>
      </c>
      <c r="F10" s="10">
        <v>24</v>
      </c>
      <c r="G10" s="10" t="s">
        <v>176</v>
      </c>
      <c r="H10" s="93"/>
      <c r="J10" s="2"/>
    </row>
    <row r="11" spans="2:10" ht="16.5" customHeight="1">
      <c r="B11" s="17" t="s">
        <v>177</v>
      </c>
      <c r="C11" s="15" t="s">
        <v>11</v>
      </c>
      <c r="D11" s="11" t="s">
        <v>11</v>
      </c>
      <c r="E11" s="10" t="s">
        <v>178</v>
      </c>
      <c r="F11" s="14">
        <v>12</v>
      </c>
      <c r="G11" s="7" t="s">
        <v>179</v>
      </c>
      <c r="H11" s="93"/>
      <c r="J11" s="2"/>
    </row>
    <row r="12" spans="2:10" ht="16.5" customHeight="1">
      <c r="B12" s="6" t="s">
        <v>180</v>
      </c>
      <c r="C12" s="7" t="s">
        <v>181</v>
      </c>
      <c r="D12" s="14" t="s">
        <v>11</v>
      </c>
      <c r="E12" s="7" t="s">
        <v>182</v>
      </c>
      <c r="F12" s="14">
        <v>12</v>
      </c>
      <c r="G12" s="7" t="s">
        <v>183</v>
      </c>
      <c r="H12" s="93"/>
      <c r="J12" s="2"/>
    </row>
    <row r="13" spans="2:10" ht="16.5" customHeight="1">
      <c r="B13" s="17" t="s">
        <v>184</v>
      </c>
      <c r="C13" s="15" t="s">
        <v>11</v>
      </c>
      <c r="D13" s="11" t="s">
        <v>11</v>
      </c>
      <c r="E13" s="10" t="s">
        <v>185</v>
      </c>
      <c r="F13" s="10">
        <v>12</v>
      </c>
      <c r="G13" s="10" t="s">
        <v>186</v>
      </c>
      <c r="H13" s="93"/>
      <c r="J13" s="2"/>
    </row>
    <row r="14" spans="2:10" ht="16.5" customHeight="1">
      <c r="B14" s="17" t="s">
        <v>187</v>
      </c>
      <c r="C14" s="15" t="s">
        <v>11</v>
      </c>
      <c r="D14" s="11" t="s">
        <v>11</v>
      </c>
      <c r="E14" s="10" t="s">
        <v>188</v>
      </c>
      <c r="F14" s="15">
        <v>24</v>
      </c>
      <c r="G14" s="10" t="s">
        <v>189</v>
      </c>
      <c r="H14" s="93"/>
      <c r="J14" s="2"/>
    </row>
    <row r="15" spans="2:10" ht="16.5" customHeight="1">
      <c r="B15" s="17" t="s">
        <v>190</v>
      </c>
      <c r="C15" s="15" t="s">
        <v>11</v>
      </c>
      <c r="D15" s="11" t="s">
        <v>11</v>
      </c>
      <c r="E15" s="10" t="s">
        <v>191</v>
      </c>
      <c r="F15" s="15">
        <v>24</v>
      </c>
      <c r="G15" s="10" t="s">
        <v>192</v>
      </c>
      <c r="H15" s="93"/>
      <c r="J15" s="2"/>
    </row>
    <row r="16" spans="2:10" ht="16.5" customHeight="1">
      <c r="B16" s="17" t="s">
        <v>193</v>
      </c>
      <c r="C16" s="15" t="s">
        <v>194</v>
      </c>
      <c r="D16" s="11" t="s">
        <v>11</v>
      </c>
      <c r="E16" s="10" t="s">
        <v>195</v>
      </c>
      <c r="F16" s="15">
        <v>12</v>
      </c>
      <c r="G16" s="10" t="s">
        <v>196</v>
      </c>
      <c r="H16" s="93"/>
      <c r="J16" s="2"/>
    </row>
    <row r="17" spans="2:10" ht="16.5" customHeight="1">
      <c r="B17" s="17" t="s">
        <v>197</v>
      </c>
      <c r="C17" s="15" t="s">
        <v>194</v>
      </c>
      <c r="D17" s="11" t="s">
        <v>11</v>
      </c>
      <c r="E17" s="10" t="s">
        <v>198</v>
      </c>
      <c r="F17" s="15">
        <v>12</v>
      </c>
      <c r="G17" s="10" t="s">
        <v>199</v>
      </c>
      <c r="H17" s="93"/>
      <c r="J17" s="2"/>
    </row>
    <row r="18" spans="2:10" ht="16.5" customHeight="1">
      <c r="B18" s="28" t="s">
        <v>200</v>
      </c>
      <c r="C18" s="9"/>
      <c r="D18" s="7" t="s">
        <v>201</v>
      </c>
      <c r="E18" s="8" t="s">
        <v>202</v>
      </c>
      <c r="F18" s="8">
        <v>12</v>
      </c>
      <c r="G18" s="27" t="s">
        <v>203</v>
      </c>
      <c r="H18" s="93"/>
      <c r="J18" s="2"/>
    </row>
    <row r="19" spans="2:10" ht="16.5" customHeight="1">
      <c r="B19" s="28" t="s">
        <v>204</v>
      </c>
      <c r="C19" s="9"/>
      <c r="D19" s="7" t="s">
        <v>205</v>
      </c>
      <c r="E19" s="8" t="s">
        <v>206</v>
      </c>
      <c r="F19" s="8">
        <v>12</v>
      </c>
      <c r="G19" s="27" t="s">
        <v>207</v>
      </c>
      <c r="H19" s="93"/>
      <c r="J19" s="2"/>
    </row>
    <row r="20" spans="2:10" ht="16.5" customHeight="1">
      <c r="B20" s="25" t="s">
        <v>208</v>
      </c>
      <c r="C20" s="12"/>
      <c r="D20" s="13" t="s">
        <v>209</v>
      </c>
      <c r="E20" s="18" t="s">
        <v>210</v>
      </c>
      <c r="F20" s="18">
        <v>12</v>
      </c>
      <c r="G20" s="13" t="s">
        <v>211</v>
      </c>
      <c r="H20" s="93"/>
      <c r="J20" s="2"/>
    </row>
    <row r="21" spans="2:10" ht="16.5" customHeight="1">
      <c r="B21" s="30" t="s">
        <v>212</v>
      </c>
      <c r="C21" s="33" t="s">
        <v>11</v>
      </c>
      <c r="D21" s="2"/>
      <c r="E21" s="2" t="s">
        <v>213</v>
      </c>
      <c r="F21" s="4">
        <v>12</v>
      </c>
      <c r="G21" s="2" t="s">
        <v>214</v>
      </c>
      <c r="H21" s="93"/>
      <c r="J21" s="2"/>
    </row>
    <row r="22" spans="2:10" ht="16.5" customHeight="1">
      <c r="B22" s="30" t="s">
        <v>215</v>
      </c>
      <c r="C22" s="33" t="s">
        <v>11</v>
      </c>
      <c r="D22" s="2"/>
      <c r="E22" s="2" t="s">
        <v>216</v>
      </c>
      <c r="F22" s="4">
        <v>12</v>
      </c>
      <c r="G22" s="2" t="s">
        <v>217</v>
      </c>
      <c r="H22" s="93"/>
      <c r="J22" s="2"/>
    </row>
    <row r="23" spans="2:10" ht="16.5" customHeight="1">
      <c r="B23" s="30" t="s">
        <v>218</v>
      </c>
      <c r="C23" s="33" t="s">
        <v>11</v>
      </c>
      <c r="D23" s="2"/>
      <c r="E23" s="2" t="s">
        <v>219</v>
      </c>
      <c r="F23" s="4">
        <v>12</v>
      </c>
      <c r="G23" s="2" t="s">
        <v>220</v>
      </c>
      <c r="H23" s="93"/>
      <c r="J23" s="2"/>
    </row>
    <row r="24" spans="2:10" ht="16.5" customHeight="1">
      <c r="B24" s="30" t="s">
        <v>221</v>
      </c>
      <c r="C24" s="33" t="s">
        <v>11</v>
      </c>
      <c r="D24" s="2"/>
      <c r="E24" s="2" t="s">
        <v>222</v>
      </c>
      <c r="F24" s="4">
        <v>12</v>
      </c>
      <c r="G24" s="2" t="s">
        <v>223</v>
      </c>
      <c r="H24" s="93"/>
      <c r="J24" s="2"/>
    </row>
    <row r="25" spans="2:10" ht="16.5" customHeight="1">
      <c r="B25" s="30" t="s">
        <v>224</v>
      </c>
      <c r="C25" s="33" t="s">
        <v>11</v>
      </c>
      <c r="D25" s="2"/>
      <c r="E25" s="2" t="s">
        <v>225</v>
      </c>
      <c r="F25" s="4">
        <v>12</v>
      </c>
      <c r="G25" s="2" t="s">
        <v>226</v>
      </c>
      <c r="H25" s="93"/>
      <c r="J25" s="2"/>
    </row>
    <row r="26" spans="2:10" ht="16.5" customHeight="1">
      <c r="B26" s="30" t="s">
        <v>227</v>
      </c>
      <c r="C26" s="33" t="s">
        <v>11</v>
      </c>
      <c r="D26" s="2"/>
      <c r="E26" s="2" t="s">
        <v>228</v>
      </c>
      <c r="F26" s="4">
        <v>12</v>
      </c>
      <c r="G26" s="2" t="s">
        <v>229</v>
      </c>
      <c r="H26" s="93"/>
      <c r="J26" s="2"/>
    </row>
    <row r="27" spans="2:10" ht="16.5" customHeight="1">
      <c r="B27" s="30" t="s">
        <v>230</v>
      </c>
      <c r="C27" s="33" t="s">
        <v>11</v>
      </c>
      <c r="D27" s="2"/>
      <c r="E27" s="2" t="s">
        <v>231</v>
      </c>
      <c r="F27" s="4">
        <v>12</v>
      </c>
      <c r="G27" s="2" t="s">
        <v>232</v>
      </c>
      <c r="H27" s="93"/>
      <c r="J27" s="2"/>
    </row>
    <row r="28" spans="2:10" ht="16.5" customHeight="1">
      <c r="B28" s="30" t="s">
        <v>233</v>
      </c>
      <c r="C28" s="33" t="s">
        <v>11</v>
      </c>
      <c r="D28" s="2"/>
      <c r="E28" s="2" t="s">
        <v>234</v>
      </c>
      <c r="F28" s="4">
        <v>12</v>
      </c>
      <c r="G28" s="2" t="s">
        <v>235</v>
      </c>
      <c r="H28" s="93"/>
      <c r="J28" s="2"/>
    </row>
    <row r="29" spans="2:10" ht="16.5" customHeight="1">
      <c r="B29" s="30" t="s">
        <v>236</v>
      </c>
      <c r="C29" s="33" t="s">
        <v>11</v>
      </c>
      <c r="D29" s="2"/>
      <c r="E29" s="2" t="s">
        <v>237</v>
      </c>
      <c r="F29" s="4">
        <v>12</v>
      </c>
      <c r="G29" s="2" t="s">
        <v>238</v>
      </c>
      <c r="H29" s="93"/>
      <c r="J29" s="2"/>
    </row>
    <row r="30" spans="2:10" ht="16.5" customHeight="1">
      <c r="B30" s="30" t="s">
        <v>239</v>
      </c>
      <c r="C30" s="33" t="s">
        <v>11</v>
      </c>
      <c r="D30" s="2"/>
      <c r="E30" s="2" t="s">
        <v>240</v>
      </c>
      <c r="F30" s="4">
        <v>12</v>
      </c>
      <c r="G30" s="2" t="s">
        <v>241</v>
      </c>
      <c r="H30" s="94"/>
      <c r="J30" s="2"/>
    </row>
    <row r="31" spans="2:10" ht="16.5" customHeight="1">
      <c r="B31" s="24" t="s">
        <v>242</v>
      </c>
      <c r="C31" s="100" t="s">
        <v>243</v>
      </c>
      <c r="D31" s="100" t="s">
        <v>244</v>
      </c>
      <c r="E31" s="10" t="s">
        <v>245</v>
      </c>
      <c r="F31" s="10">
        <v>12</v>
      </c>
      <c r="G31" s="29" t="s">
        <v>246</v>
      </c>
      <c r="H31" s="92" t="s">
        <v>100</v>
      </c>
      <c r="J31" s="2"/>
    </row>
    <row r="32" spans="2:10">
      <c r="B32" s="30" t="s">
        <v>247</v>
      </c>
      <c r="C32" s="90"/>
      <c r="D32" s="90"/>
      <c r="E32" s="2" t="s">
        <v>248</v>
      </c>
      <c r="F32" s="2">
        <v>12</v>
      </c>
      <c r="G32" s="31" t="s">
        <v>249</v>
      </c>
      <c r="H32" s="93"/>
      <c r="J32" s="2"/>
    </row>
    <row r="33" spans="2:10">
      <c r="B33" s="30" t="s">
        <v>250</v>
      </c>
      <c r="C33" s="90"/>
      <c r="D33" s="90"/>
      <c r="E33" s="2" t="s">
        <v>251</v>
      </c>
      <c r="F33" s="2">
        <v>12</v>
      </c>
      <c r="G33" s="31" t="s">
        <v>252</v>
      </c>
      <c r="H33" s="93"/>
      <c r="J33" s="2"/>
    </row>
    <row r="34" spans="2:10">
      <c r="B34" s="30" t="s">
        <v>253</v>
      </c>
      <c r="C34" s="90"/>
      <c r="D34" s="90"/>
      <c r="E34" s="2" t="s">
        <v>254</v>
      </c>
      <c r="F34" s="2">
        <v>12</v>
      </c>
      <c r="G34" s="31" t="s">
        <v>255</v>
      </c>
      <c r="H34" s="93"/>
      <c r="J34" s="2"/>
    </row>
    <row r="35" spans="2:10">
      <c r="B35" s="25" t="s">
        <v>256</v>
      </c>
      <c r="C35" s="91"/>
      <c r="D35" s="91"/>
      <c r="E35" s="13" t="s">
        <v>257</v>
      </c>
      <c r="F35" s="13">
        <v>12</v>
      </c>
      <c r="G35" s="26" t="s">
        <v>258</v>
      </c>
      <c r="H35" s="93"/>
      <c r="J35" s="2"/>
    </row>
    <row r="36" spans="2:10">
      <c r="B36" s="24" t="s">
        <v>259</v>
      </c>
      <c r="C36" s="11" t="s">
        <v>11</v>
      </c>
      <c r="D36" s="11" t="s">
        <v>11</v>
      </c>
      <c r="E36" s="10" t="s">
        <v>260</v>
      </c>
      <c r="F36" s="10">
        <v>12</v>
      </c>
      <c r="G36" s="29" t="s">
        <v>261</v>
      </c>
      <c r="H36" s="93"/>
      <c r="J36" s="2"/>
    </row>
    <row r="37" spans="2:10">
      <c r="B37" s="30" t="s">
        <v>262</v>
      </c>
      <c r="C37" s="33" t="s">
        <v>11</v>
      </c>
      <c r="D37" s="33" t="s">
        <v>11</v>
      </c>
      <c r="E37" s="2" t="s">
        <v>263</v>
      </c>
      <c r="F37" s="2">
        <v>12</v>
      </c>
      <c r="G37" s="31" t="s">
        <v>264</v>
      </c>
      <c r="H37" s="93"/>
      <c r="J37" s="2"/>
    </row>
    <row r="38" spans="2:10" ht="33.75">
      <c r="B38" s="30" t="s">
        <v>265</v>
      </c>
      <c r="C38" s="33" t="s">
        <v>11</v>
      </c>
      <c r="D38" s="4" t="s">
        <v>266</v>
      </c>
      <c r="E38" s="2" t="s">
        <v>267</v>
      </c>
      <c r="F38" s="2">
        <v>12</v>
      </c>
      <c r="G38" s="31" t="s">
        <v>268</v>
      </c>
      <c r="H38" s="93"/>
      <c r="J38" s="2"/>
    </row>
    <row r="39" spans="2:10" ht="16.5" customHeight="1">
      <c r="B39" s="30" t="s">
        <v>269</v>
      </c>
      <c r="C39" s="33" t="s">
        <v>11</v>
      </c>
      <c r="D39" s="90" t="s">
        <v>270</v>
      </c>
      <c r="E39" s="2" t="s">
        <v>271</v>
      </c>
      <c r="F39" s="2">
        <v>12</v>
      </c>
      <c r="G39" s="31" t="s">
        <v>272</v>
      </c>
      <c r="H39" s="93"/>
      <c r="J39" s="2"/>
    </row>
    <row r="40" spans="2:10">
      <c r="B40" s="30" t="s">
        <v>273</v>
      </c>
      <c r="C40" s="33" t="s">
        <v>11</v>
      </c>
      <c r="D40" s="90"/>
      <c r="E40" s="2" t="s">
        <v>274</v>
      </c>
      <c r="F40" s="2">
        <v>12</v>
      </c>
      <c r="G40" s="31" t="s">
        <v>275</v>
      </c>
      <c r="H40" s="93"/>
      <c r="J40" s="2"/>
    </row>
    <row r="41" spans="2:10">
      <c r="B41" s="30" t="s">
        <v>276</v>
      </c>
      <c r="C41" s="33" t="s">
        <v>11</v>
      </c>
      <c r="D41" s="90"/>
      <c r="E41" s="2" t="s">
        <v>277</v>
      </c>
      <c r="F41" s="2">
        <v>12</v>
      </c>
      <c r="G41" s="31" t="s">
        <v>278</v>
      </c>
      <c r="H41" s="93"/>
      <c r="J41" s="2"/>
    </row>
    <row r="42" spans="2:10">
      <c r="B42" s="30" t="s">
        <v>279</v>
      </c>
      <c r="C42" s="33" t="s">
        <v>11</v>
      </c>
      <c r="D42" s="90"/>
      <c r="E42" s="2" t="s">
        <v>280</v>
      </c>
      <c r="F42" s="2">
        <v>12</v>
      </c>
      <c r="G42" s="31" t="s">
        <v>281</v>
      </c>
      <c r="H42" s="93"/>
      <c r="J42" s="2"/>
    </row>
    <row r="43" spans="2:10">
      <c r="B43" s="30" t="s">
        <v>282</v>
      </c>
      <c r="C43" s="33" t="s">
        <v>11</v>
      </c>
      <c r="D43" s="2" t="s">
        <v>283</v>
      </c>
      <c r="E43" s="2" t="s">
        <v>284</v>
      </c>
      <c r="F43" s="2">
        <v>12</v>
      </c>
      <c r="G43" s="31" t="s">
        <v>285</v>
      </c>
      <c r="H43" s="93"/>
      <c r="J43" s="2"/>
    </row>
    <row r="44" spans="2:10">
      <c r="B44" s="30" t="s">
        <v>286</v>
      </c>
      <c r="C44" s="33" t="s">
        <v>11</v>
      </c>
      <c r="D44" s="2" t="s">
        <v>287</v>
      </c>
      <c r="E44" s="2" t="s">
        <v>288</v>
      </c>
      <c r="F44" s="2">
        <v>12</v>
      </c>
      <c r="G44" s="31" t="s">
        <v>289</v>
      </c>
      <c r="H44" s="93"/>
      <c r="J44" s="2"/>
    </row>
    <row r="45" spans="2:10">
      <c r="B45" s="30" t="s">
        <v>290</v>
      </c>
      <c r="C45" s="33" t="s">
        <v>11</v>
      </c>
      <c r="D45" s="2" t="s">
        <v>291</v>
      </c>
      <c r="E45" s="2" t="s">
        <v>292</v>
      </c>
      <c r="F45" s="2">
        <v>12</v>
      </c>
      <c r="G45" s="31" t="s">
        <v>293</v>
      </c>
      <c r="H45" s="93"/>
      <c r="J45" s="2"/>
    </row>
    <row r="46" spans="2:10">
      <c r="B46" s="30" t="s">
        <v>294</v>
      </c>
      <c r="C46" s="33" t="s">
        <v>11</v>
      </c>
      <c r="D46" s="2" t="s">
        <v>295</v>
      </c>
      <c r="E46" s="2" t="s">
        <v>296</v>
      </c>
      <c r="F46" s="2">
        <v>12</v>
      </c>
      <c r="G46" s="31" t="s">
        <v>297</v>
      </c>
      <c r="H46" s="93"/>
      <c r="J46" s="2"/>
    </row>
    <row r="47" spans="2:10">
      <c r="B47" s="30" t="s">
        <v>298</v>
      </c>
      <c r="C47" s="33" t="s">
        <v>11</v>
      </c>
      <c r="D47" s="2" t="s">
        <v>299</v>
      </c>
      <c r="E47" s="2" t="s">
        <v>300</v>
      </c>
      <c r="F47" s="2">
        <v>12</v>
      </c>
      <c r="G47" s="31" t="s">
        <v>301</v>
      </c>
      <c r="H47" s="93"/>
      <c r="J47" s="2"/>
    </row>
    <row r="48" spans="2:10">
      <c r="B48" s="30" t="s">
        <v>302</v>
      </c>
      <c r="C48" s="33"/>
      <c r="D48" s="33" t="s">
        <v>303</v>
      </c>
      <c r="E48" s="2" t="s">
        <v>304</v>
      </c>
      <c r="F48" s="2">
        <v>12</v>
      </c>
      <c r="G48" s="31" t="s">
        <v>305</v>
      </c>
      <c r="H48" s="93"/>
      <c r="J48" s="2"/>
    </row>
    <row r="49" spans="2:10">
      <c r="B49" s="25" t="s">
        <v>306</v>
      </c>
      <c r="C49" s="12" t="s">
        <v>11</v>
      </c>
      <c r="D49" s="12" t="s">
        <v>11</v>
      </c>
      <c r="E49" s="13" t="s">
        <v>307</v>
      </c>
      <c r="F49" s="13">
        <v>12</v>
      </c>
      <c r="G49" s="26" t="s">
        <v>308</v>
      </c>
      <c r="H49" s="94"/>
      <c r="J49" s="2"/>
    </row>
    <row r="50" spans="2:10">
      <c r="B50" s="5" t="s">
        <v>309</v>
      </c>
      <c r="C50" s="1"/>
      <c r="D50" s="1" t="s">
        <v>310</v>
      </c>
      <c r="E50" s="2"/>
      <c r="F50" s="2"/>
      <c r="G50" s="2"/>
    </row>
    <row r="51" spans="2:10">
      <c r="B51" s="1" t="s">
        <v>311</v>
      </c>
      <c r="C51" s="1"/>
      <c r="D51" s="1" t="s">
        <v>312</v>
      </c>
    </row>
  </sheetData>
  <mergeCells count="11">
    <mergeCell ref="B3:B5"/>
    <mergeCell ref="E4:G4"/>
    <mergeCell ref="C3:G3"/>
    <mergeCell ref="H31:H49"/>
    <mergeCell ref="C31:C35"/>
    <mergeCell ref="D31:D35"/>
    <mergeCell ref="E6:E7"/>
    <mergeCell ref="F6:F7"/>
    <mergeCell ref="G6:G7"/>
    <mergeCell ref="D39:D42"/>
    <mergeCell ref="H6:H30"/>
  </mergeCells>
  <phoneticPr fontId="1" type="noConversion"/>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E105D-27FE-4516-BE37-9250B7E192FC}">
  <dimension ref="P1:BY34"/>
  <sheetViews>
    <sheetView topLeftCell="D3" zoomScale="85" zoomScaleNormal="85" workbookViewId="0">
      <selection activeCell="W45" sqref="W45"/>
    </sheetView>
  </sheetViews>
  <sheetFormatPr defaultColWidth="3.5625" defaultRowHeight="16.899999999999999"/>
  <sheetData>
    <row r="1" spans="16:77" ht="12" customHeight="1">
      <c r="R1" s="2"/>
      <c r="S1" s="2"/>
      <c r="T1" s="2"/>
      <c r="U1" s="2"/>
      <c r="V1" s="122"/>
      <c r="W1" s="122"/>
      <c r="X1" s="122"/>
      <c r="Y1" s="122"/>
      <c r="Z1" s="122"/>
      <c r="AA1" s="122"/>
      <c r="AB1" s="122"/>
      <c r="AC1" s="122"/>
      <c r="AD1" s="122"/>
      <c r="AE1" s="122"/>
      <c r="AF1" s="122"/>
      <c r="AG1" s="122"/>
      <c r="AH1" s="122"/>
      <c r="AI1" s="122"/>
      <c r="AJ1" s="122"/>
      <c r="AK1" s="122"/>
      <c r="AL1" s="122"/>
      <c r="AM1" s="122"/>
      <c r="AN1" s="122"/>
      <c r="AO1" s="122"/>
      <c r="AP1" s="122"/>
      <c r="AQ1" s="122"/>
      <c r="AR1" s="122"/>
      <c r="AS1" s="122"/>
      <c r="AT1" s="122"/>
      <c r="AU1" s="122"/>
      <c r="AV1" s="122"/>
      <c r="AW1" s="122"/>
      <c r="AX1" s="122"/>
      <c r="AY1" s="122"/>
      <c r="AZ1" s="122"/>
      <c r="BA1" s="122"/>
      <c r="BB1" s="122"/>
      <c r="BC1" s="122"/>
      <c r="BD1" s="122"/>
      <c r="BE1" s="122"/>
      <c r="BF1" s="122"/>
      <c r="BG1" s="122"/>
      <c r="BH1" s="122"/>
      <c r="BI1" s="122"/>
      <c r="BJ1" s="122"/>
      <c r="BK1" s="122"/>
      <c r="BL1" s="122"/>
      <c r="BM1" s="122"/>
      <c r="BN1" s="122"/>
      <c r="BO1" s="122"/>
      <c r="BP1" s="122"/>
      <c r="BQ1" s="122"/>
      <c r="BR1" s="122"/>
      <c r="BS1" s="122"/>
      <c r="BT1" s="122"/>
      <c r="BU1" s="122"/>
      <c r="BV1" s="122"/>
      <c r="BW1" s="122"/>
      <c r="BX1" s="122"/>
      <c r="BY1" s="122"/>
    </row>
    <row r="2" spans="16:77" ht="25.05" customHeight="1">
      <c r="P2" s="2"/>
      <c r="Q2" s="2"/>
      <c r="R2" s="97" t="s">
        <v>313</v>
      </c>
      <c r="S2" s="103"/>
      <c r="T2" s="103"/>
      <c r="U2" s="120"/>
      <c r="V2" s="34">
        <v>0</v>
      </c>
      <c r="W2" s="34">
        <v>1</v>
      </c>
      <c r="X2" s="34">
        <v>2</v>
      </c>
      <c r="Y2" s="34">
        <v>3</v>
      </c>
      <c r="Z2" s="34">
        <v>4</v>
      </c>
      <c r="AA2" s="34">
        <v>5</v>
      </c>
      <c r="AB2" s="34">
        <v>6</v>
      </c>
      <c r="AC2" s="34">
        <v>7</v>
      </c>
      <c r="AD2" s="34">
        <v>8</v>
      </c>
      <c r="AE2" s="34">
        <v>9</v>
      </c>
      <c r="AF2" s="34">
        <v>10</v>
      </c>
      <c r="AG2" s="34">
        <v>11</v>
      </c>
      <c r="AH2" s="34">
        <v>12</v>
      </c>
      <c r="AI2" s="34">
        <v>13</v>
      </c>
      <c r="AJ2" s="34">
        <v>14</v>
      </c>
      <c r="AK2" s="34">
        <v>15</v>
      </c>
      <c r="AL2" s="34">
        <v>16</v>
      </c>
      <c r="AM2" s="34">
        <v>17</v>
      </c>
      <c r="AN2" s="34">
        <v>18</v>
      </c>
      <c r="AO2" s="34">
        <v>19</v>
      </c>
      <c r="AP2" s="34">
        <v>20</v>
      </c>
      <c r="AQ2" s="34">
        <v>21</v>
      </c>
      <c r="AR2" s="34">
        <v>22</v>
      </c>
      <c r="AS2" s="34">
        <v>23</v>
      </c>
      <c r="AT2" s="34">
        <v>24</v>
      </c>
      <c r="AU2" s="34">
        <v>25</v>
      </c>
      <c r="AV2" s="34">
        <v>26</v>
      </c>
      <c r="AW2" s="34">
        <v>27</v>
      </c>
      <c r="AX2" s="34">
        <v>28</v>
      </c>
      <c r="AY2" s="34">
        <v>29</v>
      </c>
      <c r="AZ2" s="34">
        <v>30</v>
      </c>
      <c r="BA2" s="34">
        <v>31</v>
      </c>
      <c r="BB2" s="34">
        <v>32</v>
      </c>
      <c r="BC2" s="34">
        <v>33</v>
      </c>
      <c r="BD2" s="34">
        <v>34</v>
      </c>
      <c r="BE2" s="34">
        <v>35</v>
      </c>
      <c r="BF2" s="34">
        <v>36</v>
      </c>
      <c r="BG2" s="34">
        <v>37</v>
      </c>
      <c r="BH2" s="34">
        <v>38</v>
      </c>
      <c r="BI2" s="34">
        <v>39</v>
      </c>
      <c r="BJ2" s="34">
        <v>40</v>
      </c>
      <c r="BK2" s="34">
        <v>41</v>
      </c>
      <c r="BL2" s="34">
        <v>42</v>
      </c>
      <c r="BM2" s="34">
        <v>43</v>
      </c>
      <c r="BN2" s="34">
        <v>44</v>
      </c>
      <c r="BO2" s="34">
        <v>45</v>
      </c>
      <c r="BP2" s="34">
        <v>46</v>
      </c>
      <c r="BQ2" s="34">
        <v>47</v>
      </c>
      <c r="BR2" s="34">
        <v>48</v>
      </c>
      <c r="BS2" s="34">
        <v>49</v>
      </c>
      <c r="BT2" s="34">
        <v>50</v>
      </c>
      <c r="BU2" s="34">
        <v>51</v>
      </c>
      <c r="BV2" s="34">
        <v>52</v>
      </c>
      <c r="BW2" s="34">
        <v>53</v>
      </c>
      <c r="BX2" s="34">
        <v>54</v>
      </c>
      <c r="BY2" s="34">
        <v>55</v>
      </c>
    </row>
    <row r="3" spans="16:77" ht="25.05" customHeight="1">
      <c r="P3" s="2"/>
      <c r="Q3" s="2"/>
      <c r="R3" s="95"/>
      <c r="S3" s="127"/>
      <c r="T3" s="127"/>
      <c r="U3" s="128"/>
      <c r="V3" s="126" t="s">
        <v>314</v>
      </c>
      <c r="W3" s="126"/>
      <c r="X3" s="126"/>
      <c r="Y3" s="126"/>
      <c r="Z3" s="112" t="s">
        <v>315</v>
      </c>
      <c r="AA3" s="112"/>
      <c r="AB3" s="112"/>
      <c r="AC3" s="112"/>
      <c r="AD3" s="112"/>
      <c r="AE3" s="112"/>
      <c r="AF3" s="112"/>
      <c r="AG3" s="112"/>
      <c r="AH3" s="112"/>
      <c r="AI3" s="112"/>
      <c r="AJ3" s="112"/>
      <c r="AK3" s="112"/>
      <c r="AL3" s="113" t="s">
        <v>316</v>
      </c>
      <c r="AM3" s="113"/>
      <c r="AN3" s="113"/>
      <c r="AO3" s="113"/>
      <c r="AP3" s="113"/>
      <c r="AQ3" s="113"/>
      <c r="AR3" s="113"/>
      <c r="AS3" s="113"/>
      <c r="AT3" s="114" t="s">
        <v>317</v>
      </c>
      <c r="AU3" s="115"/>
      <c r="AV3" s="115"/>
      <c r="AW3" s="115"/>
      <c r="AX3" s="115"/>
      <c r="AY3" s="115"/>
      <c r="AZ3" s="115"/>
      <c r="BA3" s="115"/>
      <c r="BB3" s="115"/>
      <c r="BC3" s="115"/>
      <c r="BD3" s="115"/>
      <c r="BE3" s="115"/>
      <c r="BF3" s="115"/>
      <c r="BG3" s="115"/>
      <c r="BH3" s="115"/>
      <c r="BI3" s="115"/>
      <c r="BJ3" s="115"/>
      <c r="BK3" s="115"/>
      <c r="BL3" s="115"/>
      <c r="BM3" s="115"/>
      <c r="BN3" s="115"/>
      <c r="BO3" s="115"/>
      <c r="BP3" s="115"/>
      <c r="BQ3" s="116"/>
      <c r="BR3" s="107" t="s">
        <v>318</v>
      </c>
      <c r="BS3" s="107"/>
      <c r="BT3" s="107"/>
      <c r="BU3" s="107"/>
      <c r="BV3" s="107"/>
      <c r="BW3" s="107"/>
      <c r="BX3" s="107"/>
      <c r="BY3" s="107"/>
    </row>
    <row r="4" spans="16:77" ht="25.05" customHeight="1">
      <c r="R4" s="96"/>
      <c r="S4" s="104"/>
      <c r="T4" s="104"/>
      <c r="U4" s="129"/>
      <c r="V4" s="34">
        <v>1</v>
      </c>
      <c r="W4" s="34">
        <v>0</v>
      </c>
      <c r="X4" s="34">
        <v>1</v>
      </c>
      <c r="Y4" s="34">
        <v>0</v>
      </c>
      <c r="Z4" s="108" t="s">
        <v>319</v>
      </c>
      <c r="AA4" s="108"/>
      <c r="AB4" s="108"/>
      <c r="AC4" s="108"/>
      <c r="AD4" s="108"/>
      <c r="AE4" s="108"/>
      <c r="AF4" s="108"/>
      <c r="AG4" s="108"/>
      <c r="AH4" s="108"/>
      <c r="AI4" s="109"/>
      <c r="AJ4" s="109"/>
      <c r="AK4" s="109"/>
      <c r="AL4" s="34" t="s">
        <v>320</v>
      </c>
      <c r="AM4" s="34" t="s">
        <v>321</v>
      </c>
      <c r="AN4" s="34" t="s">
        <v>322</v>
      </c>
      <c r="AO4" s="109" t="s">
        <v>323</v>
      </c>
      <c r="AP4" s="110"/>
      <c r="AQ4" s="110"/>
      <c r="AR4" s="110"/>
      <c r="AS4" s="111"/>
      <c r="AT4" s="109" t="s">
        <v>324</v>
      </c>
      <c r="AU4" s="110"/>
      <c r="AV4" s="110"/>
      <c r="AW4" s="110"/>
      <c r="AX4" s="110"/>
      <c r="AY4" s="110"/>
      <c r="AZ4" s="110"/>
      <c r="BA4" s="110"/>
      <c r="BB4" s="110"/>
      <c r="BC4" s="110"/>
      <c r="BD4" s="110"/>
      <c r="BE4" s="110"/>
      <c r="BF4" s="110"/>
      <c r="BG4" s="110"/>
      <c r="BH4" s="110"/>
      <c r="BI4" s="110"/>
      <c r="BJ4" s="110"/>
      <c r="BK4" s="110"/>
      <c r="BL4" s="110"/>
      <c r="BM4" s="110"/>
      <c r="BN4" s="110"/>
      <c r="BO4" s="110"/>
      <c r="BP4" s="110"/>
      <c r="BQ4" s="111"/>
      <c r="BR4" s="108" t="s">
        <v>325</v>
      </c>
      <c r="BS4" s="108"/>
      <c r="BT4" s="108"/>
      <c r="BU4" s="108"/>
      <c r="BV4" s="108"/>
      <c r="BW4" s="108"/>
      <c r="BX4" s="108"/>
      <c r="BY4" s="108"/>
    </row>
    <row r="5" spans="16:77" ht="50.2" customHeight="1">
      <c r="P5" s="2"/>
      <c r="Q5" s="2"/>
      <c r="R5" s="97" t="s">
        <v>326</v>
      </c>
      <c r="S5" s="130"/>
      <c r="T5" s="130"/>
      <c r="U5" s="130"/>
      <c r="V5" s="130"/>
      <c r="W5" s="130"/>
      <c r="X5" s="130"/>
      <c r="Y5" s="130"/>
      <c r="Z5" s="130"/>
      <c r="AA5" s="130"/>
      <c r="AB5" s="130"/>
      <c r="AC5" s="130"/>
      <c r="AD5" s="130"/>
      <c r="AE5" s="130"/>
      <c r="AF5" s="130"/>
      <c r="AG5" s="130"/>
      <c r="AH5" s="130"/>
      <c r="AI5" s="130"/>
      <c r="AJ5" s="130"/>
      <c r="AK5" s="131"/>
      <c r="AL5" s="117">
        <v>0</v>
      </c>
      <c r="AM5" s="34">
        <v>1</v>
      </c>
      <c r="AN5" s="34">
        <v>0</v>
      </c>
      <c r="AO5" s="123" t="s">
        <v>327</v>
      </c>
      <c r="AP5" s="124"/>
      <c r="AQ5" s="124"/>
      <c r="AR5" s="124"/>
      <c r="AS5" s="125"/>
      <c r="AT5" s="1"/>
      <c r="AU5" s="1"/>
      <c r="AV5" s="1"/>
      <c r="AW5" s="1"/>
      <c r="AX5" s="1"/>
      <c r="AY5" s="1"/>
      <c r="AZ5" s="1"/>
      <c r="BA5" s="1"/>
      <c r="BB5" s="1"/>
      <c r="BC5" s="1"/>
      <c r="BD5" s="1"/>
      <c r="BE5" s="1"/>
      <c r="BF5" s="1"/>
      <c r="BG5" s="1"/>
      <c r="BH5" s="1"/>
      <c r="BI5" s="1"/>
      <c r="BJ5" s="1"/>
      <c r="BK5" s="1"/>
      <c r="BL5" s="1"/>
      <c r="BM5" s="1"/>
      <c r="BN5" s="1"/>
      <c r="BO5" s="1"/>
      <c r="BP5" s="1"/>
      <c r="BQ5" s="1"/>
      <c r="BR5" s="2"/>
      <c r="BS5" s="2"/>
      <c r="BT5" s="2"/>
      <c r="BU5" s="2"/>
      <c r="BV5" s="2"/>
      <c r="BW5" s="2"/>
      <c r="BX5" s="2"/>
      <c r="BY5" s="2"/>
    </row>
    <row r="6" spans="16:77" ht="50.2" customHeight="1">
      <c r="P6" s="2"/>
      <c r="Q6" s="2"/>
      <c r="R6" s="134"/>
      <c r="S6" s="135"/>
      <c r="T6" s="135"/>
      <c r="U6" s="135"/>
      <c r="V6" s="135"/>
      <c r="W6" s="135"/>
      <c r="X6" s="135"/>
      <c r="Y6" s="135"/>
      <c r="Z6" s="135"/>
      <c r="AA6" s="135"/>
      <c r="AB6" s="135"/>
      <c r="AC6" s="135"/>
      <c r="AD6" s="135"/>
      <c r="AE6" s="135"/>
      <c r="AF6" s="135"/>
      <c r="AG6" s="135"/>
      <c r="AH6" s="135"/>
      <c r="AI6" s="135"/>
      <c r="AJ6" s="135"/>
      <c r="AK6" s="136"/>
      <c r="AL6" s="118"/>
      <c r="AM6" s="34">
        <v>1</v>
      </c>
      <c r="AN6" s="34">
        <v>1</v>
      </c>
      <c r="AO6" s="123" t="s">
        <v>328</v>
      </c>
      <c r="AP6" s="124"/>
      <c r="AQ6" s="124"/>
      <c r="AR6" s="124"/>
      <c r="AS6" s="125"/>
      <c r="AT6" s="1"/>
      <c r="AU6" s="1"/>
      <c r="AV6" s="1"/>
      <c r="AW6" s="1"/>
      <c r="AX6" s="1"/>
      <c r="AY6" s="1"/>
      <c r="AZ6" s="1"/>
      <c r="BA6" s="1"/>
      <c r="BB6" s="1"/>
      <c r="BC6" s="1"/>
      <c r="BD6" s="1"/>
      <c r="BE6" s="1"/>
      <c r="BF6" s="1"/>
      <c r="BG6" s="1"/>
      <c r="BH6" s="1"/>
      <c r="BI6" s="1"/>
      <c r="BJ6" s="1"/>
      <c r="BK6" s="1"/>
      <c r="BL6" s="1"/>
      <c r="BM6" s="1"/>
      <c r="BN6" s="1"/>
      <c r="BO6" s="1"/>
      <c r="BP6" s="1"/>
      <c r="BQ6" s="1"/>
      <c r="BR6" s="2"/>
      <c r="BS6" s="2"/>
      <c r="BT6" s="2"/>
      <c r="BU6" s="2"/>
      <c r="BV6" s="2"/>
      <c r="BW6" s="2"/>
      <c r="BX6" s="2"/>
      <c r="BY6" s="2"/>
    </row>
    <row r="7" spans="16:77" ht="100.05" customHeight="1">
      <c r="P7" s="2"/>
      <c r="Q7" s="2"/>
      <c r="R7" s="134"/>
      <c r="S7" s="135"/>
      <c r="T7" s="135"/>
      <c r="U7" s="135"/>
      <c r="V7" s="135"/>
      <c r="W7" s="135"/>
      <c r="X7" s="135"/>
      <c r="Y7" s="135"/>
      <c r="Z7" s="135"/>
      <c r="AA7" s="135"/>
      <c r="AB7" s="135"/>
      <c r="AC7" s="135"/>
      <c r="AD7" s="135"/>
      <c r="AE7" s="135"/>
      <c r="AF7" s="135"/>
      <c r="AG7" s="135"/>
      <c r="AH7" s="135"/>
      <c r="AI7" s="135"/>
      <c r="AJ7" s="135"/>
      <c r="AK7" s="136"/>
      <c r="AL7" s="118"/>
      <c r="AM7" s="34">
        <v>1</v>
      </c>
      <c r="AN7" s="34">
        <v>0</v>
      </c>
      <c r="AO7" s="123" t="s">
        <v>329</v>
      </c>
      <c r="AP7" s="124"/>
      <c r="AQ7" s="124"/>
      <c r="AR7" s="124"/>
      <c r="AS7" s="125"/>
      <c r="AT7" s="109" t="s">
        <v>330</v>
      </c>
      <c r="AU7" s="110"/>
      <c r="AV7" s="110"/>
      <c r="AW7" s="110"/>
      <c r="AX7" s="110"/>
      <c r="AY7" s="110"/>
      <c r="AZ7" s="110"/>
      <c r="BA7" s="110"/>
      <c r="BB7" s="110"/>
      <c r="BC7" s="110"/>
      <c r="BD7" s="110"/>
      <c r="BE7" s="111"/>
      <c r="BF7" s="1"/>
      <c r="BG7" s="1"/>
      <c r="BH7" s="1"/>
      <c r="BI7" s="1"/>
      <c r="BJ7" s="1"/>
      <c r="BK7" s="1"/>
      <c r="BL7" s="1"/>
      <c r="BM7" s="1"/>
      <c r="BN7" s="1"/>
      <c r="BO7" s="1"/>
      <c r="BP7" s="1"/>
      <c r="BQ7" s="1"/>
      <c r="BR7" s="2"/>
      <c r="BS7" s="2"/>
      <c r="BT7" s="2"/>
      <c r="BU7" s="2"/>
      <c r="BV7" s="2"/>
      <c r="BW7" s="2"/>
      <c r="BX7" s="2"/>
      <c r="BY7" s="2"/>
    </row>
    <row r="8" spans="16:77" ht="100.05" customHeight="1">
      <c r="P8" s="2"/>
      <c r="Q8" s="2"/>
      <c r="R8" s="134"/>
      <c r="S8" s="135"/>
      <c r="T8" s="135"/>
      <c r="U8" s="135"/>
      <c r="V8" s="135"/>
      <c r="W8" s="135"/>
      <c r="X8" s="135"/>
      <c r="Y8" s="135"/>
      <c r="Z8" s="135"/>
      <c r="AA8" s="135"/>
      <c r="AB8" s="135"/>
      <c r="AC8" s="135"/>
      <c r="AD8" s="135"/>
      <c r="AE8" s="135"/>
      <c r="AF8" s="135"/>
      <c r="AG8" s="135"/>
      <c r="AH8" s="135"/>
      <c r="AI8" s="135"/>
      <c r="AJ8" s="135"/>
      <c r="AK8" s="136"/>
      <c r="AL8" s="118"/>
      <c r="AM8" s="34">
        <v>1</v>
      </c>
      <c r="AN8" s="34">
        <v>1</v>
      </c>
      <c r="AO8" s="123" t="s">
        <v>331</v>
      </c>
      <c r="AP8" s="124"/>
      <c r="AQ8" s="124"/>
      <c r="AR8" s="124"/>
      <c r="AS8" s="125"/>
      <c r="AT8" s="99" t="s">
        <v>330</v>
      </c>
      <c r="AU8" s="103"/>
      <c r="AV8" s="103"/>
      <c r="AW8" s="103"/>
      <c r="AX8" s="103"/>
      <c r="AY8" s="103"/>
      <c r="AZ8" s="103"/>
      <c r="BA8" s="103"/>
      <c r="BB8" s="103"/>
      <c r="BC8" s="103"/>
      <c r="BD8" s="103"/>
      <c r="BE8" s="120"/>
      <c r="BF8" s="1"/>
      <c r="BG8" s="1"/>
      <c r="BH8" s="1"/>
      <c r="BI8" s="1"/>
      <c r="BJ8" s="1"/>
      <c r="BK8" s="1"/>
      <c r="BL8" s="1"/>
      <c r="BM8" s="1"/>
      <c r="BN8" s="1"/>
      <c r="BO8" s="1"/>
      <c r="BP8" s="1"/>
      <c r="BQ8" s="1"/>
      <c r="BR8" s="2"/>
      <c r="BS8" s="2"/>
      <c r="BT8" s="2"/>
      <c r="BU8" s="2"/>
      <c r="BV8" s="2"/>
      <c r="BW8" s="2"/>
      <c r="BX8" s="2"/>
      <c r="BY8" s="2"/>
    </row>
    <row r="9" spans="16:77" ht="50.2" customHeight="1">
      <c r="P9" s="2"/>
      <c r="Q9" s="2"/>
      <c r="R9" s="134"/>
      <c r="S9" s="135"/>
      <c r="T9" s="135"/>
      <c r="U9" s="135"/>
      <c r="V9" s="135"/>
      <c r="W9" s="135"/>
      <c r="X9" s="135"/>
      <c r="Y9" s="135"/>
      <c r="Z9" s="135"/>
      <c r="AA9" s="135"/>
      <c r="AB9" s="135"/>
      <c r="AC9" s="135"/>
      <c r="AD9" s="135"/>
      <c r="AE9" s="135"/>
      <c r="AF9" s="135"/>
      <c r="AG9" s="135"/>
      <c r="AH9" s="135"/>
      <c r="AI9" s="135"/>
      <c r="AJ9" s="135"/>
      <c r="AK9" s="136"/>
      <c r="AL9" s="118"/>
      <c r="AM9" s="34">
        <v>1</v>
      </c>
      <c r="AN9" s="34">
        <v>0</v>
      </c>
      <c r="AO9" s="123" t="s">
        <v>332</v>
      </c>
      <c r="AP9" s="124"/>
      <c r="AQ9" s="124"/>
      <c r="AR9" s="124"/>
      <c r="AS9" s="125"/>
      <c r="AT9" s="109" t="s">
        <v>333</v>
      </c>
      <c r="AU9" s="110"/>
      <c r="AV9" s="110"/>
      <c r="AW9" s="110"/>
      <c r="AX9" s="110"/>
      <c r="AY9" s="110"/>
      <c r="AZ9" s="110"/>
      <c r="BA9" s="110"/>
      <c r="BB9" s="110"/>
      <c r="BC9" s="110"/>
      <c r="BD9" s="110"/>
      <c r="BE9" s="110"/>
      <c r="BF9" s="110"/>
      <c r="BG9" s="110"/>
      <c r="BH9" s="110"/>
      <c r="BI9" s="110"/>
      <c r="BJ9" s="110"/>
      <c r="BK9" s="110"/>
      <c r="BL9" s="110"/>
      <c r="BM9" s="110"/>
      <c r="BN9" s="110"/>
      <c r="BO9" s="110"/>
      <c r="BP9" s="110"/>
      <c r="BQ9" s="111"/>
      <c r="BR9" s="2"/>
      <c r="BS9" s="2"/>
      <c r="BT9" s="2"/>
      <c r="BU9" s="2"/>
      <c r="BV9" s="2"/>
      <c r="BW9" s="2"/>
      <c r="BX9" s="2"/>
      <c r="BY9" s="2"/>
    </row>
    <row r="10" spans="16:77" ht="50.2" customHeight="1">
      <c r="P10" s="2"/>
      <c r="Q10" s="2"/>
      <c r="R10" s="134"/>
      <c r="S10" s="135"/>
      <c r="T10" s="135"/>
      <c r="U10" s="135"/>
      <c r="V10" s="135"/>
      <c r="W10" s="135"/>
      <c r="X10" s="135"/>
      <c r="Y10" s="135"/>
      <c r="Z10" s="135"/>
      <c r="AA10" s="135"/>
      <c r="AB10" s="135"/>
      <c r="AC10" s="135"/>
      <c r="AD10" s="135"/>
      <c r="AE10" s="135"/>
      <c r="AF10" s="135"/>
      <c r="AG10" s="135"/>
      <c r="AH10" s="135"/>
      <c r="AI10" s="135"/>
      <c r="AJ10" s="135"/>
      <c r="AK10" s="136"/>
      <c r="AL10" s="118"/>
      <c r="AM10" s="34">
        <v>1</v>
      </c>
      <c r="AN10" s="34">
        <v>1</v>
      </c>
      <c r="AO10" s="123" t="s">
        <v>334</v>
      </c>
      <c r="AP10" s="124"/>
      <c r="AQ10" s="124"/>
      <c r="AR10" s="124"/>
      <c r="AS10" s="125"/>
      <c r="AT10" s="109" t="s">
        <v>333</v>
      </c>
      <c r="AU10" s="110"/>
      <c r="AV10" s="110"/>
      <c r="AW10" s="110"/>
      <c r="AX10" s="110"/>
      <c r="AY10" s="110"/>
      <c r="AZ10" s="110"/>
      <c r="BA10" s="110"/>
      <c r="BB10" s="110"/>
      <c r="BC10" s="110"/>
      <c r="BD10" s="110"/>
      <c r="BE10" s="110"/>
      <c r="BF10" s="110"/>
      <c r="BG10" s="110"/>
      <c r="BH10" s="110"/>
      <c r="BI10" s="110"/>
      <c r="BJ10" s="110"/>
      <c r="BK10" s="110"/>
      <c r="BL10" s="110"/>
      <c r="BM10" s="110"/>
      <c r="BN10" s="110"/>
      <c r="BO10" s="110"/>
      <c r="BP10" s="110"/>
      <c r="BQ10" s="111"/>
      <c r="BR10" s="2"/>
      <c r="BS10" s="2"/>
      <c r="BT10" s="2"/>
      <c r="BU10" s="2"/>
      <c r="BV10" s="2"/>
      <c r="BW10" s="2"/>
      <c r="BX10" s="2"/>
      <c r="BY10" s="2"/>
    </row>
    <row r="11" spans="16:77" ht="50.2" customHeight="1">
      <c r="P11" s="2"/>
      <c r="Q11" s="2"/>
      <c r="R11" s="98"/>
      <c r="S11" s="132"/>
      <c r="T11" s="132"/>
      <c r="U11" s="132"/>
      <c r="V11" s="132"/>
      <c r="W11" s="132"/>
      <c r="X11" s="132"/>
      <c r="Y11" s="132"/>
      <c r="Z11" s="132"/>
      <c r="AA11" s="132"/>
      <c r="AB11" s="132"/>
      <c r="AC11" s="132"/>
      <c r="AD11" s="132"/>
      <c r="AE11" s="132"/>
      <c r="AF11" s="132"/>
      <c r="AG11" s="132"/>
      <c r="AH11" s="132"/>
      <c r="AI11" s="132"/>
      <c r="AJ11" s="132"/>
      <c r="AK11" s="133"/>
      <c r="AL11" s="119"/>
      <c r="AM11" s="34">
        <v>0</v>
      </c>
      <c r="AN11" s="34">
        <v>0</v>
      </c>
      <c r="AO11" s="123" t="s">
        <v>335</v>
      </c>
      <c r="AP11" s="124"/>
      <c r="AQ11" s="124"/>
      <c r="AR11" s="124"/>
      <c r="AS11" s="125"/>
      <c r="AT11" s="1"/>
      <c r="AU11" s="1"/>
      <c r="AV11" s="1"/>
      <c r="AW11" s="1"/>
      <c r="AX11" s="1"/>
      <c r="AY11" s="1"/>
      <c r="AZ11" s="1"/>
      <c r="BA11" s="1"/>
      <c r="BB11" s="1"/>
      <c r="BC11" s="1"/>
      <c r="BD11" s="1"/>
      <c r="BE11" s="1"/>
      <c r="BF11" s="1"/>
      <c r="BG11" s="1"/>
      <c r="BH11" s="1"/>
      <c r="BI11" s="1"/>
      <c r="BJ11" s="1"/>
      <c r="BK11" s="1"/>
      <c r="BL11" s="1"/>
      <c r="BM11" s="1"/>
      <c r="BN11" s="1"/>
      <c r="BO11" s="1"/>
      <c r="BP11" s="1"/>
      <c r="BQ11" s="1"/>
      <c r="BR11" s="2"/>
      <c r="BS11" s="2"/>
      <c r="BT11" s="2"/>
      <c r="BU11" s="2"/>
      <c r="BV11" s="2"/>
      <c r="BW11" s="2"/>
      <c r="BX11" s="2"/>
      <c r="BY11" s="2"/>
    </row>
    <row r="12" spans="16:77" ht="33" customHeight="1">
      <c r="P12" s="2"/>
      <c r="Q12" s="2"/>
      <c r="R12" s="4"/>
      <c r="S12" s="4"/>
      <c r="T12" s="4"/>
      <c r="U12" s="4"/>
      <c r="V12" s="4"/>
      <c r="W12" s="4"/>
      <c r="X12" s="4"/>
      <c r="Y12" s="4"/>
      <c r="Z12" s="4"/>
      <c r="AA12" s="4"/>
      <c r="AB12" s="4"/>
      <c r="AC12" s="4"/>
      <c r="AD12" s="4"/>
      <c r="AE12" s="4"/>
      <c r="AF12" s="4"/>
      <c r="AG12" s="4"/>
      <c r="AH12" s="4"/>
      <c r="AI12" s="4"/>
      <c r="AJ12" s="2"/>
      <c r="AK12" s="2"/>
      <c r="AL12" s="2"/>
      <c r="AM12" s="2"/>
      <c r="AN12" s="4"/>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row>
    <row r="13" spans="16:77" ht="14.25" customHeight="1">
      <c r="P13" s="2"/>
      <c r="Q13" s="2"/>
      <c r="R13" s="2"/>
      <c r="S13" s="2"/>
      <c r="T13" s="2"/>
      <c r="U13" s="2"/>
      <c r="V13" s="122"/>
      <c r="W13" s="122"/>
      <c r="X13" s="122"/>
      <c r="Y13" s="122"/>
      <c r="Z13" s="122"/>
      <c r="AA13" s="122"/>
      <c r="AB13" s="122"/>
      <c r="AC13" s="122"/>
      <c r="AD13" s="122"/>
      <c r="AE13" s="122"/>
      <c r="AF13" s="122"/>
      <c r="AG13" s="122"/>
      <c r="AH13" s="122"/>
      <c r="AI13" s="122"/>
      <c r="AJ13" s="122"/>
      <c r="AK13" s="122"/>
      <c r="AL13" s="122"/>
      <c r="AM13" s="122"/>
      <c r="AN13" s="122"/>
      <c r="AO13" s="122"/>
      <c r="AP13" s="122"/>
      <c r="AQ13" s="122"/>
      <c r="AR13" s="122"/>
      <c r="AS13" s="122"/>
      <c r="AT13" s="122"/>
      <c r="AU13" s="122"/>
      <c r="AV13" s="122"/>
      <c r="AW13" s="122"/>
      <c r="AX13" s="122"/>
      <c r="AY13" s="122"/>
      <c r="AZ13" s="122"/>
      <c r="BA13" s="122"/>
      <c r="BB13" s="122"/>
      <c r="BC13" s="122"/>
      <c r="BD13" s="122"/>
      <c r="BE13" s="122"/>
      <c r="BF13" s="122"/>
      <c r="BG13" s="122"/>
      <c r="BH13" s="122"/>
      <c r="BI13" s="122"/>
      <c r="BJ13" s="122"/>
      <c r="BK13" s="122"/>
      <c r="BL13" s="122"/>
      <c r="BM13" s="122"/>
      <c r="BN13" s="122"/>
      <c r="BO13" s="122"/>
      <c r="BP13" s="122"/>
      <c r="BQ13" s="122"/>
      <c r="BR13" s="2"/>
      <c r="BS13" s="2"/>
      <c r="BT13" s="2"/>
      <c r="BU13" s="2"/>
      <c r="BV13" s="2"/>
      <c r="BW13" s="2"/>
    </row>
    <row r="14" spans="16:77" ht="25.05" customHeight="1">
      <c r="P14" s="2"/>
      <c r="Q14" s="2"/>
      <c r="R14" s="97" t="s">
        <v>313</v>
      </c>
      <c r="S14" s="103"/>
      <c r="T14" s="103"/>
      <c r="U14" s="120"/>
      <c r="V14" s="34">
        <v>0</v>
      </c>
      <c r="W14" s="34">
        <v>1</v>
      </c>
      <c r="X14" s="34">
        <v>2</v>
      </c>
      <c r="Y14" s="34">
        <v>3</v>
      </c>
      <c r="Z14" s="34">
        <v>4</v>
      </c>
      <c r="AA14" s="34">
        <v>5</v>
      </c>
      <c r="AB14" s="34">
        <v>6</v>
      </c>
      <c r="AC14" s="34">
        <v>7</v>
      </c>
      <c r="AD14" s="34">
        <v>8</v>
      </c>
      <c r="AE14" s="34">
        <v>9</v>
      </c>
      <c r="AF14" s="34">
        <v>10</v>
      </c>
      <c r="AG14" s="34">
        <v>11</v>
      </c>
      <c r="AH14" s="34">
        <v>12</v>
      </c>
      <c r="AI14" s="34">
        <v>13</v>
      </c>
      <c r="AJ14" s="34">
        <v>14</v>
      </c>
      <c r="AK14" s="34">
        <v>15</v>
      </c>
      <c r="AL14" s="34">
        <v>16</v>
      </c>
      <c r="AM14" s="34">
        <v>17</v>
      </c>
      <c r="AN14" s="34">
        <v>18</v>
      </c>
      <c r="AO14" s="34">
        <v>19</v>
      </c>
      <c r="AP14" s="34">
        <v>20</v>
      </c>
      <c r="AQ14" s="34">
        <v>21</v>
      </c>
      <c r="AR14" s="34">
        <v>22</v>
      </c>
      <c r="AS14" s="34">
        <v>23</v>
      </c>
      <c r="AT14" s="34">
        <v>24</v>
      </c>
      <c r="AU14" s="34">
        <v>25</v>
      </c>
      <c r="AV14" s="34">
        <v>26</v>
      </c>
      <c r="AW14" s="34">
        <v>27</v>
      </c>
      <c r="AX14" s="34">
        <v>28</v>
      </c>
      <c r="AY14" s="34">
        <v>29</v>
      </c>
      <c r="AZ14" s="34">
        <v>30</v>
      </c>
      <c r="BA14" s="34">
        <v>31</v>
      </c>
      <c r="BB14" s="34">
        <v>32</v>
      </c>
      <c r="BC14" s="34">
        <v>33</v>
      </c>
      <c r="BD14" s="34">
        <v>34</v>
      </c>
      <c r="BE14" s="34">
        <v>35</v>
      </c>
      <c r="BF14" s="34">
        <v>36</v>
      </c>
      <c r="BG14" s="34">
        <v>37</v>
      </c>
      <c r="BH14" s="34">
        <v>38</v>
      </c>
      <c r="BI14" s="34">
        <v>39</v>
      </c>
      <c r="BJ14" s="34">
        <v>40</v>
      </c>
      <c r="BK14" s="34">
        <v>41</v>
      </c>
      <c r="BL14" s="34">
        <v>42</v>
      </c>
      <c r="BM14" s="34">
        <v>43</v>
      </c>
      <c r="BN14" s="34">
        <v>44</v>
      </c>
      <c r="BO14" s="34">
        <v>45</v>
      </c>
      <c r="BP14" s="34">
        <v>46</v>
      </c>
      <c r="BQ14" s="34">
        <v>47</v>
      </c>
      <c r="BR14" s="2"/>
      <c r="BS14" s="2"/>
      <c r="BT14" s="2"/>
      <c r="BU14" s="2"/>
      <c r="BV14" s="2"/>
      <c r="BW14" s="2"/>
    </row>
    <row r="15" spans="16:77" ht="25.05" customHeight="1">
      <c r="P15" s="2"/>
      <c r="Q15" s="2"/>
      <c r="R15" s="95"/>
      <c r="S15" s="127"/>
      <c r="T15" s="127"/>
      <c r="U15" s="128"/>
      <c r="V15" s="126" t="s">
        <v>314</v>
      </c>
      <c r="W15" s="126"/>
      <c r="X15" s="126"/>
      <c r="Y15" s="126"/>
      <c r="Z15" s="112" t="s">
        <v>315</v>
      </c>
      <c r="AA15" s="112"/>
      <c r="AB15" s="112"/>
      <c r="AC15" s="112"/>
      <c r="AD15" s="112"/>
      <c r="AE15" s="112"/>
      <c r="AF15" s="112"/>
      <c r="AG15" s="112"/>
      <c r="AH15" s="112"/>
      <c r="AI15" s="112"/>
      <c r="AJ15" s="112"/>
      <c r="AK15" s="112"/>
      <c r="AL15" s="113" t="s">
        <v>316</v>
      </c>
      <c r="AM15" s="113"/>
      <c r="AN15" s="113"/>
      <c r="AO15" s="113"/>
      <c r="AP15" s="113"/>
      <c r="AQ15" s="113"/>
      <c r="AR15" s="113"/>
      <c r="AS15" s="113"/>
      <c r="AT15" s="121" t="s">
        <v>317</v>
      </c>
      <c r="AU15" s="121"/>
      <c r="AV15" s="121"/>
      <c r="AW15" s="121"/>
      <c r="AX15" s="121"/>
      <c r="AY15" s="121"/>
      <c r="AZ15" s="121"/>
      <c r="BA15" s="121"/>
      <c r="BB15" s="121"/>
      <c r="BC15" s="121"/>
      <c r="BD15" s="121"/>
      <c r="BE15" s="121"/>
      <c r="BF15" s="138" t="s">
        <v>560</v>
      </c>
      <c r="BG15" s="138"/>
      <c r="BH15" s="138"/>
      <c r="BI15" s="138"/>
      <c r="BJ15" s="139" t="s">
        <v>318</v>
      </c>
      <c r="BK15" s="140"/>
      <c r="BL15" s="140"/>
      <c r="BM15" s="140"/>
      <c r="BN15" s="140"/>
      <c r="BO15" s="140"/>
      <c r="BP15" s="140"/>
      <c r="BQ15" s="141"/>
    </row>
    <row r="16" spans="16:77" ht="25.05" customHeight="1">
      <c r="P16" s="2"/>
      <c r="Q16" s="2"/>
      <c r="R16" s="96"/>
      <c r="S16" s="104"/>
      <c r="T16" s="104"/>
      <c r="U16" s="129"/>
      <c r="V16" s="34">
        <v>1</v>
      </c>
      <c r="W16" s="34">
        <v>0</v>
      </c>
      <c r="X16" s="34">
        <v>1</v>
      </c>
      <c r="Y16" s="34">
        <v>0</v>
      </c>
      <c r="Z16" s="108" t="s">
        <v>319</v>
      </c>
      <c r="AA16" s="108"/>
      <c r="AB16" s="108"/>
      <c r="AC16" s="108"/>
      <c r="AD16" s="108"/>
      <c r="AE16" s="108"/>
      <c r="AF16" s="108"/>
      <c r="AG16" s="108"/>
      <c r="AH16" s="108"/>
      <c r="AI16" s="108"/>
      <c r="AJ16" s="108"/>
      <c r="AK16" s="108"/>
      <c r="AL16" s="34" t="s">
        <v>320</v>
      </c>
      <c r="AM16" s="34" t="s">
        <v>321</v>
      </c>
      <c r="AN16" s="109" t="s">
        <v>336</v>
      </c>
      <c r="AO16" s="110"/>
      <c r="AP16" s="110"/>
      <c r="AQ16" s="110"/>
      <c r="AR16" s="110"/>
      <c r="AS16" s="111"/>
      <c r="AT16" s="108" t="s">
        <v>337</v>
      </c>
      <c r="AU16" s="108"/>
      <c r="AV16" s="108"/>
      <c r="AW16" s="108"/>
      <c r="AX16" s="108"/>
      <c r="AY16" s="108"/>
      <c r="AZ16" s="108"/>
      <c r="BA16" s="108"/>
      <c r="BB16" s="108"/>
      <c r="BC16" s="108"/>
      <c r="BD16" s="108"/>
      <c r="BE16" s="108"/>
      <c r="BF16" s="108" t="s">
        <v>561</v>
      </c>
      <c r="BG16" s="108"/>
      <c r="BH16" s="108"/>
      <c r="BI16" s="108"/>
      <c r="BJ16" s="109" t="s">
        <v>325</v>
      </c>
      <c r="BK16" s="110"/>
      <c r="BL16" s="110"/>
      <c r="BM16" s="110"/>
      <c r="BN16" s="110"/>
      <c r="BO16" s="110"/>
      <c r="BP16" s="110"/>
      <c r="BQ16" s="111"/>
    </row>
    <row r="17" spans="16:77" ht="50.2" customHeight="1">
      <c r="P17" s="2"/>
      <c r="Q17" s="2"/>
      <c r="R17" s="97" t="s">
        <v>338</v>
      </c>
      <c r="S17" s="130"/>
      <c r="T17" s="130"/>
      <c r="U17" s="130"/>
      <c r="V17" s="130"/>
      <c r="W17" s="130"/>
      <c r="X17" s="130"/>
      <c r="Y17" s="130"/>
      <c r="Z17" s="130"/>
      <c r="AA17" s="130"/>
      <c r="AB17" s="130"/>
      <c r="AC17" s="130"/>
      <c r="AD17" s="130"/>
      <c r="AE17" s="130"/>
      <c r="AF17" s="130"/>
      <c r="AG17" s="130"/>
      <c r="AH17" s="130"/>
      <c r="AI17" s="130"/>
      <c r="AJ17" s="130"/>
      <c r="AK17" s="131"/>
      <c r="AL17" s="118">
        <v>1</v>
      </c>
      <c r="AM17" s="35">
        <v>1</v>
      </c>
      <c r="AN17" s="98" t="s">
        <v>339</v>
      </c>
      <c r="AO17" s="104"/>
      <c r="AP17" s="104"/>
      <c r="AQ17" s="104"/>
      <c r="AR17" s="104"/>
      <c r="AS17" s="129"/>
      <c r="AT17" s="109" t="s">
        <v>330</v>
      </c>
      <c r="AU17" s="110"/>
      <c r="AV17" s="110"/>
      <c r="AW17" s="110"/>
      <c r="AX17" s="110"/>
      <c r="AY17" s="110"/>
      <c r="AZ17" s="110"/>
      <c r="BA17" s="110"/>
      <c r="BB17" s="110"/>
      <c r="BC17" s="110"/>
      <c r="BD17" s="110"/>
      <c r="BE17" s="111"/>
      <c r="BF17" s="2"/>
      <c r="BG17" s="2"/>
      <c r="BH17" s="2"/>
      <c r="BI17" s="2"/>
      <c r="BJ17" s="2"/>
      <c r="BK17" s="2"/>
      <c r="BN17" s="2"/>
      <c r="BO17" s="2"/>
      <c r="BP17" s="2"/>
      <c r="BQ17" s="2"/>
      <c r="BR17" s="2"/>
      <c r="BS17" s="2"/>
      <c r="BT17" s="2"/>
      <c r="BU17" s="2"/>
      <c r="BV17" s="2"/>
      <c r="BW17" s="2"/>
    </row>
    <row r="18" spans="16:77" ht="50.2" customHeight="1">
      <c r="P18" s="2"/>
      <c r="Q18" s="2"/>
      <c r="R18" s="98"/>
      <c r="S18" s="132"/>
      <c r="T18" s="132"/>
      <c r="U18" s="132"/>
      <c r="V18" s="132"/>
      <c r="W18" s="132"/>
      <c r="X18" s="132"/>
      <c r="Y18" s="132"/>
      <c r="Z18" s="132"/>
      <c r="AA18" s="132"/>
      <c r="AB18" s="132"/>
      <c r="AC18" s="132"/>
      <c r="AD18" s="132"/>
      <c r="AE18" s="132"/>
      <c r="AF18" s="132"/>
      <c r="AG18" s="132"/>
      <c r="AH18" s="132"/>
      <c r="AI18" s="132"/>
      <c r="AJ18" s="132"/>
      <c r="AK18" s="133"/>
      <c r="AL18" s="119"/>
      <c r="AM18" s="34">
        <v>0</v>
      </c>
      <c r="AN18" s="123" t="s">
        <v>340</v>
      </c>
      <c r="AO18" s="110"/>
      <c r="AP18" s="110"/>
      <c r="AQ18" s="110"/>
      <c r="AR18" s="110"/>
      <c r="AS18" s="111"/>
      <c r="AT18" s="1"/>
      <c r="AU18" s="1"/>
      <c r="AV18" s="1"/>
      <c r="AW18" s="1"/>
      <c r="AX18" s="1"/>
      <c r="AY18" s="1"/>
      <c r="AZ18" s="1"/>
      <c r="BA18" s="1"/>
      <c r="BB18" s="1"/>
      <c r="BC18" s="1"/>
      <c r="BD18" s="1"/>
      <c r="BE18" s="1"/>
      <c r="BF18" s="2"/>
      <c r="BG18" s="2"/>
      <c r="BH18" s="2"/>
      <c r="BI18" s="2"/>
      <c r="BJ18" s="2"/>
      <c r="BK18" s="2"/>
      <c r="BN18" s="2"/>
      <c r="BO18" s="2"/>
      <c r="BP18" s="2"/>
      <c r="BQ18" s="2"/>
      <c r="BR18" s="2"/>
      <c r="BS18" s="2"/>
      <c r="BT18" s="2"/>
      <c r="BU18" s="2"/>
      <c r="BV18" s="2"/>
      <c r="BW18" s="2"/>
    </row>
    <row r="19" spans="16:77" ht="33" customHeight="1">
      <c r="P19" s="2"/>
      <c r="Q19" s="2"/>
      <c r="R19" s="4"/>
      <c r="S19" s="4"/>
      <c r="T19" s="4"/>
      <c r="U19" s="4"/>
      <c r="V19" s="4"/>
      <c r="W19" s="4"/>
      <c r="X19" s="4"/>
      <c r="Y19" s="4"/>
      <c r="Z19" s="4"/>
      <c r="AA19" s="4"/>
      <c r="AB19" s="4"/>
      <c r="AC19" s="4"/>
      <c r="AD19" s="4"/>
      <c r="AE19" s="4"/>
      <c r="AF19" s="4"/>
      <c r="AG19" s="4"/>
      <c r="AH19" s="4"/>
      <c r="AI19" s="4"/>
      <c r="AJ19" s="2"/>
      <c r="AK19" s="2"/>
      <c r="AL19" s="2"/>
      <c r="AM19" s="2"/>
      <c r="AN19" s="4"/>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row>
    <row r="20" spans="16:77" ht="14.25" customHeight="1">
      <c r="P20" s="2"/>
      <c r="Q20" s="2"/>
      <c r="R20" s="2"/>
      <c r="S20" s="2"/>
      <c r="T20" s="2"/>
      <c r="U20" s="2"/>
      <c r="V20" s="122"/>
      <c r="W20" s="122"/>
      <c r="X20" s="122"/>
      <c r="Y20" s="122"/>
      <c r="Z20" s="122"/>
      <c r="AA20" s="122"/>
      <c r="AB20" s="122"/>
      <c r="AC20" s="122"/>
      <c r="AD20" s="122"/>
      <c r="AE20" s="122"/>
      <c r="AF20" s="122"/>
      <c r="AG20" s="122"/>
      <c r="AH20" s="122"/>
      <c r="AI20" s="122"/>
      <c r="AJ20" s="122"/>
      <c r="AK20" s="122"/>
      <c r="AL20" s="122"/>
      <c r="AM20" s="122"/>
      <c r="AN20" s="122"/>
      <c r="AO20" s="122"/>
      <c r="AP20" s="122"/>
      <c r="AQ20" s="122"/>
      <c r="AR20" s="122"/>
      <c r="AS20" s="122"/>
      <c r="AT20" s="122"/>
      <c r="AU20" s="122"/>
      <c r="AV20" s="122"/>
      <c r="AW20" s="122"/>
      <c r="AX20" s="122"/>
      <c r="AY20" s="122"/>
      <c r="AZ20" s="122"/>
      <c r="BA20" s="122"/>
      <c r="BB20" s="122"/>
      <c r="BC20" s="122"/>
      <c r="BD20" s="122"/>
      <c r="BE20" s="122"/>
      <c r="BF20" s="122"/>
      <c r="BG20" s="122"/>
      <c r="BH20" s="122"/>
      <c r="BI20" s="122"/>
      <c r="BJ20" s="122"/>
      <c r="BK20" s="122"/>
      <c r="BL20" s="122"/>
      <c r="BM20" s="122"/>
      <c r="BN20" s="122"/>
      <c r="BO20" s="122"/>
      <c r="BP20" s="122"/>
      <c r="BQ20" s="122"/>
      <c r="BR20" s="122"/>
      <c r="BS20" s="122"/>
      <c r="BT20" s="122"/>
      <c r="BU20" s="122"/>
      <c r="BV20" s="122"/>
      <c r="BW20" s="122"/>
      <c r="BX20" s="122"/>
      <c r="BY20" s="122"/>
    </row>
    <row r="21" spans="16:77" ht="25.05" customHeight="1">
      <c r="P21" s="2"/>
      <c r="Q21" s="2"/>
      <c r="R21" s="97" t="s">
        <v>341</v>
      </c>
      <c r="S21" s="103"/>
      <c r="T21" s="103"/>
      <c r="U21" s="120"/>
      <c r="V21" s="34">
        <v>0</v>
      </c>
      <c r="W21" s="34">
        <v>1</v>
      </c>
      <c r="X21" s="34">
        <v>2</v>
      </c>
      <c r="Y21" s="34">
        <v>3</v>
      </c>
      <c r="Z21" s="34">
        <v>4</v>
      </c>
      <c r="AA21" s="34">
        <v>5</v>
      </c>
      <c r="AB21" s="34">
        <v>6</v>
      </c>
      <c r="AC21" s="34">
        <v>7</v>
      </c>
      <c r="AD21" s="34">
        <v>8</v>
      </c>
      <c r="AE21" s="34">
        <v>9</v>
      </c>
      <c r="AF21" s="34">
        <v>10</v>
      </c>
      <c r="AG21" s="34">
        <v>11</v>
      </c>
      <c r="AH21" s="34">
        <v>12</v>
      </c>
      <c r="AI21" s="34">
        <v>13</v>
      </c>
      <c r="AJ21" s="34">
        <v>14</v>
      </c>
      <c r="AK21" s="34">
        <v>15</v>
      </c>
      <c r="AL21" s="34">
        <v>16</v>
      </c>
      <c r="AM21" s="34">
        <v>17</v>
      </c>
      <c r="AN21" s="34">
        <v>18</v>
      </c>
      <c r="AO21" s="34">
        <v>19</v>
      </c>
      <c r="AP21" s="34">
        <v>20</v>
      </c>
      <c r="AQ21" s="34">
        <v>21</v>
      </c>
      <c r="AR21" s="34">
        <v>22</v>
      </c>
      <c r="AS21" s="34">
        <v>23</v>
      </c>
      <c r="AT21" s="34">
        <v>24</v>
      </c>
      <c r="AU21" s="34">
        <v>25</v>
      </c>
      <c r="AV21" s="34">
        <v>26</v>
      </c>
      <c r="AW21" s="34">
        <v>27</v>
      </c>
      <c r="AX21" s="34">
        <v>28</v>
      </c>
      <c r="AY21" s="34">
        <v>29</v>
      </c>
      <c r="AZ21" s="34">
        <v>30</v>
      </c>
      <c r="BA21" s="34">
        <v>31</v>
      </c>
      <c r="BB21" s="34">
        <v>32</v>
      </c>
      <c r="BC21" s="34">
        <v>33</v>
      </c>
      <c r="BD21" s="34">
        <v>34</v>
      </c>
      <c r="BE21" s="34">
        <v>35</v>
      </c>
      <c r="BF21" s="34">
        <v>36</v>
      </c>
      <c r="BG21" s="34">
        <v>37</v>
      </c>
      <c r="BH21" s="34">
        <v>38</v>
      </c>
      <c r="BI21" s="34">
        <v>39</v>
      </c>
      <c r="BJ21" s="34">
        <v>40</v>
      </c>
      <c r="BK21" s="34">
        <v>41</v>
      </c>
      <c r="BL21" s="34">
        <v>42</v>
      </c>
      <c r="BM21" s="34">
        <v>43</v>
      </c>
      <c r="BN21" s="34">
        <v>44</v>
      </c>
      <c r="BO21" s="34">
        <v>45</v>
      </c>
      <c r="BP21" s="34">
        <v>46</v>
      </c>
      <c r="BQ21" s="34">
        <v>47</v>
      </c>
      <c r="BR21" s="34">
        <v>48</v>
      </c>
      <c r="BS21" s="34">
        <v>49</v>
      </c>
      <c r="BT21" s="34">
        <v>50</v>
      </c>
      <c r="BU21" s="34">
        <v>51</v>
      </c>
      <c r="BV21" s="34">
        <v>52</v>
      </c>
      <c r="BW21" s="34">
        <v>53</v>
      </c>
      <c r="BX21" s="34">
        <v>54</v>
      </c>
      <c r="BY21" s="34">
        <v>55</v>
      </c>
    </row>
    <row r="22" spans="16:77" ht="25.05" customHeight="1">
      <c r="P22" s="2"/>
      <c r="Q22" s="2"/>
      <c r="R22" s="95"/>
      <c r="S22" s="127"/>
      <c r="T22" s="127"/>
      <c r="U22" s="128"/>
      <c r="V22" s="126" t="s">
        <v>314</v>
      </c>
      <c r="W22" s="126"/>
      <c r="X22" s="126"/>
      <c r="Y22" s="126"/>
      <c r="Z22" s="112" t="s">
        <v>315</v>
      </c>
      <c r="AA22" s="112"/>
      <c r="AB22" s="112"/>
      <c r="AC22" s="112"/>
      <c r="AD22" s="112"/>
      <c r="AE22" s="112"/>
      <c r="AF22" s="112"/>
      <c r="AG22" s="112"/>
      <c r="AH22" s="112"/>
      <c r="AI22" s="112"/>
      <c r="AJ22" s="112"/>
      <c r="AK22" s="112"/>
      <c r="AL22" s="113" t="s">
        <v>316</v>
      </c>
      <c r="AM22" s="113"/>
      <c r="AN22" s="113"/>
      <c r="AO22" s="113"/>
      <c r="AP22" s="113"/>
      <c r="AQ22" s="113"/>
      <c r="AR22" s="113"/>
      <c r="AS22" s="113"/>
      <c r="AT22" s="114" t="s">
        <v>317</v>
      </c>
      <c r="AU22" s="115"/>
      <c r="AV22" s="115"/>
      <c r="AW22" s="115"/>
      <c r="AX22" s="115"/>
      <c r="AY22" s="115"/>
      <c r="AZ22" s="115"/>
      <c r="BA22" s="115"/>
      <c r="BB22" s="115"/>
      <c r="BC22" s="115"/>
      <c r="BD22" s="115"/>
      <c r="BE22" s="115"/>
      <c r="BF22" s="115"/>
      <c r="BG22" s="115"/>
      <c r="BH22" s="115"/>
      <c r="BI22" s="115"/>
      <c r="BJ22" s="115"/>
      <c r="BK22" s="115"/>
      <c r="BL22" s="115"/>
      <c r="BM22" s="115"/>
      <c r="BN22" s="115"/>
      <c r="BO22" s="115"/>
      <c r="BP22" s="115"/>
      <c r="BQ22" s="116"/>
      <c r="BR22" s="107" t="s">
        <v>318</v>
      </c>
      <c r="BS22" s="107"/>
      <c r="BT22" s="107"/>
      <c r="BU22" s="107"/>
      <c r="BV22" s="107"/>
      <c r="BW22" s="107"/>
      <c r="BX22" s="107"/>
      <c r="BY22" s="107"/>
    </row>
    <row r="23" spans="16:77" ht="25.05" customHeight="1">
      <c r="R23" s="96"/>
      <c r="S23" s="104"/>
      <c r="T23" s="104"/>
      <c r="U23" s="129"/>
      <c r="V23" s="34">
        <v>1</v>
      </c>
      <c r="W23" s="34">
        <v>0</v>
      </c>
      <c r="X23" s="34">
        <v>1</v>
      </c>
      <c r="Y23" s="34">
        <v>0</v>
      </c>
      <c r="Z23" s="108" t="s">
        <v>319</v>
      </c>
      <c r="AA23" s="108"/>
      <c r="AB23" s="108"/>
      <c r="AC23" s="108"/>
      <c r="AD23" s="108"/>
      <c r="AE23" s="108"/>
      <c r="AF23" s="108"/>
      <c r="AG23" s="108"/>
      <c r="AH23" s="108"/>
      <c r="AI23" s="109"/>
      <c r="AJ23" s="109"/>
      <c r="AK23" s="109"/>
      <c r="AL23" s="34" t="s">
        <v>320</v>
      </c>
      <c r="AM23" s="34" t="s">
        <v>321</v>
      </c>
      <c r="AN23" s="34" t="s">
        <v>322</v>
      </c>
      <c r="AO23" s="109" t="s">
        <v>323</v>
      </c>
      <c r="AP23" s="110"/>
      <c r="AQ23" s="110"/>
      <c r="AR23" s="110"/>
      <c r="AS23" s="111"/>
      <c r="AT23" s="109" t="s">
        <v>342</v>
      </c>
      <c r="AU23" s="110"/>
      <c r="AV23" s="110"/>
      <c r="AW23" s="110"/>
      <c r="AX23" s="110"/>
      <c r="AY23" s="110"/>
      <c r="AZ23" s="110"/>
      <c r="BA23" s="110"/>
      <c r="BB23" s="110"/>
      <c r="BC23" s="110"/>
      <c r="BD23" s="110"/>
      <c r="BE23" s="110"/>
      <c r="BF23" s="110"/>
      <c r="BG23" s="110"/>
      <c r="BH23" s="110"/>
      <c r="BI23" s="110"/>
      <c r="BJ23" s="110"/>
      <c r="BK23" s="110"/>
      <c r="BL23" s="110"/>
      <c r="BM23" s="110"/>
      <c r="BN23" s="110"/>
      <c r="BO23" s="110"/>
      <c r="BP23" s="110"/>
      <c r="BQ23" s="111"/>
      <c r="BR23" s="108" t="s">
        <v>325</v>
      </c>
      <c r="BS23" s="108"/>
      <c r="BT23" s="108"/>
      <c r="BU23" s="108"/>
      <c r="BV23" s="108"/>
      <c r="BW23" s="108"/>
      <c r="BX23" s="108"/>
      <c r="BY23" s="108"/>
    </row>
    <row r="24" spans="16:77" s="2" customFormat="1" ht="25.05" customHeight="1">
      <c r="R24" s="38"/>
      <c r="S24" s="38"/>
      <c r="T24" s="38"/>
      <c r="U24" s="38"/>
      <c r="V24" s="38"/>
      <c r="W24" s="38"/>
      <c r="X24" s="38"/>
      <c r="Y24" s="38"/>
      <c r="Z24" s="38"/>
      <c r="AA24" s="38"/>
      <c r="AB24" s="38"/>
      <c r="AC24" s="38"/>
      <c r="AD24" s="38"/>
      <c r="AE24" s="38"/>
      <c r="AF24" s="38"/>
      <c r="AG24" s="38"/>
      <c r="AH24" s="38"/>
      <c r="AI24" s="38"/>
      <c r="AJ24" s="38"/>
      <c r="AK24" s="39"/>
      <c r="AL24" s="117">
        <v>0</v>
      </c>
      <c r="AM24" s="37">
        <v>0</v>
      </c>
      <c r="AN24" s="36">
        <v>1</v>
      </c>
      <c r="AO24" s="36">
        <v>0</v>
      </c>
      <c r="AP24" s="137" t="s">
        <v>343</v>
      </c>
      <c r="AQ24" s="137"/>
      <c r="AR24" s="137"/>
      <c r="AS24" s="137"/>
      <c r="AT24" s="1"/>
      <c r="AU24" s="1"/>
      <c r="AV24" s="1"/>
      <c r="AW24" s="1"/>
      <c r="AX24" s="1"/>
      <c r="AY24" s="1"/>
      <c r="AZ24" s="1"/>
      <c r="BA24" s="1"/>
      <c r="BB24" s="1"/>
      <c r="BC24" s="1"/>
      <c r="BD24" s="1"/>
      <c r="BE24" s="1"/>
      <c r="BF24" s="1"/>
      <c r="BG24" s="1"/>
      <c r="BH24" s="1"/>
      <c r="BI24" s="1"/>
      <c r="BJ24" s="1"/>
      <c r="BK24" s="1"/>
      <c r="BL24" s="1"/>
      <c r="BM24" s="1"/>
      <c r="BN24" s="1"/>
      <c r="BO24" s="1"/>
      <c r="BP24" s="1"/>
      <c r="BQ24" s="1"/>
      <c r="BX24"/>
      <c r="BY24"/>
    </row>
    <row r="25" spans="16:77" ht="50.2" customHeight="1">
      <c r="P25" s="2"/>
      <c r="Q25" s="2"/>
      <c r="R25" s="97" t="s">
        <v>344</v>
      </c>
      <c r="S25" s="130"/>
      <c r="T25" s="130"/>
      <c r="U25" s="130"/>
      <c r="V25" s="130"/>
      <c r="W25" s="130"/>
      <c r="X25" s="130"/>
      <c r="Y25" s="130"/>
      <c r="Z25" s="130"/>
      <c r="AA25" s="130"/>
      <c r="AB25" s="130"/>
      <c r="AC25" s="130"/>
      <c r="AD25" s="130"/>
      <c r="AE25" s="130"/>
      <c r="AF25" s="130"/>
      <c r="AG25" s="130"/>
      <c r="AH25" s="130"/>
      <c r="AI25" s="130"/>
      <c r="AJ25" s="130"/>
      <c r="AK25" s="131"/>
      <c r="AL25" s="118"/>
      <c r="AM25" s="34">
        <v>1</v>
      </c>
      <c r="AN25" s="34">
        <v>1</v>
      </c>
      <c r="AO25" s="123" t="s">
        <v>345</v>
      </c>
      <c r="AP25" s="124"/>
      <c r="AQ25" s="124"/>
      <c r="AR25" s="124"/>
      <c r="AS25" s="125"/>
      <c r="AT25" s="109" t="s">
        <v>346</v>
      </c>
      <c r="AU25" s="110"/>
      <c r="AV25" s="110"/>
      <c r="AW25" s="110"/>
      <c r="AX25" s="110"/>
      <c r="AY25" s="110"/>
      <c r="AZ25" s="110"/>
      <c r="BA25" s="110"/>
      <c r="BB25" s="110"/>
      <c r="BC25" s="110"/>
      <c r="BD25" s="110"/>
      <c r="BE25" s="111"/>
      <c r="BF25" s="109" t="s">
        <v>347</v>
      </c>
      <c r="BG25" s="110"/>
      <c r="BH25" s="110"/>
      <c r="BI25" s="110"/>
      <c r="BJ25" s="110"/>
      <c r="BK25" s="110"/>
      <c r="BL25" s="110"/>
      <c r="BM25" s="110"/>
      <c r="BN25" s="110"/>
      <c r="BO25" s="110"/>
      <c r="BP25" s="110"/>
      <c r="BQ25" s="111"/>
      <c r="BR25" s="2"/>
      <c r="BS25" s="2"/>
      <c r="BT25" s="2"/>
      <c r="BU25" s="2"/>
      <c r="BV25" s="2"/>
      <c r="BW25" s="2"/>
    </row>
    <row r="26" spans="16:77" ht="100.05" customHeight="1">
      <c r="R26" s="134"/>
      <c r="S26" s="135"/>
      <c r="T26" s="135"/>
      <c r="U26" s="135"/>
      <c r="V26" s="135"/>
      <c r="W26" s="135"/>
      <c r="X26" s="135"/>
      <c r="Y26" s="135"/>
      <c r="Z26" s="135"/>
      <c r="AA26" s="135"/>
      <c r="AB26" s="135"/>
      <c r="AC26" s="135"/>
      <c r="AD26" s="135"/>
      <c r="AE26" s="135"/>
      <c r="AF26" s="135"/>
      <c r="AG26" s="135"/>
      <c r="AH26" s="135"/>
      <c r="AI26" s="135"/>
      <c r="AJ26" s="135"/>
      <c r="AK26" s="136"/>
      <c r="AL26" s="118"/>
      <c r="AM26" s="34">
        <v>0</v>
      </c>
      <c r="AN26" s="34">
        <v>0</v>
      </c>
      <c r="AO26" s="123" t="s">
        <v>348</v>
      </c>
      <c r="AP26" s="124"/>
      <c r="AQ26" s="124"/>
      <c r="AR26" s="124"/>
      <c r="AS26" s="125"/>
      <c r="AT26" s="103" t="s">
        <v>330</v>
      </c>
      <c r="AU26" s="103"/>
      <c r="AV26" s="103"/>
      <c r="AW26" s="103"/>
      <c r="AX26" s="103"/>
      <c r="AY26" s="103"/>
      <c r="AZ26" s="103"/>
      <c r="BA26" s="103"/>
      <c r="BB26" s="103"/>
      <c r="BC26" s="103"/>
      <c r="BD26" s="103"/>
      <c r="BE26" s="120"/>
      <c r="BF26" s="21"/>
      <c r="BG26" s="21"/>
      <c r="BH26" s="21"/>
      <c r="BI26" s="21"/>
      <c r="BJ26" s="21"/>
      <c r="BK26" s="21"/>
      <c r="BL26" s="21"/>
      <c r="BM26" s="21"/>
      <c r="BN26" s="21"/>
      <c r="BO26" s="21"/>
      <c r="BP26" s="21"/>
      <c r="BQ26" s="21"/>
    </row>
    <row r="27" spans="16:77" ht="50.2" customHeight="1">
      <c r="R27" s="98"/>
      <c r="S27" s="132"/>
      <c r="T27" s="132"/>
      <c r="U27" s="132"/>
      <c r="V27" s="132"/>
      <c r="W27" s="132"/>
      <c r="X27" s="132"/>
      <c r="Y27" s="132"/>
      <c r="Z27" s="132"/>
      <c r="AA27" s="132"/>
      <c r="AB27" s="132"/>
      <c r="AC27" s="132"/>
      <c r="AD27" s="132"/>
      <c r="AE27" s="132"/>
      <c r="AF27" s="132"/>
      <c r="AG27" s="132"/>
      <c r="AH27" s="132"/>
      <c r="AI27" s="132"/>
      <c r="AJ27" s="132"/>
      <c r="AK27" s="133"/>
      <c r="AL27" s="119"/>
      <c r="AM27" s="34">
        <v>0</v>
      </c>
      <c r="AN27" s="34">
        <v>0</v>
      </c>
      <c r="AO27" s="123" t="s">
        <v>349</v>
      </c>
      <c r="AP27" s="124"/>
      <c r="AQ27" s="124"/>
      <c r="AR27" s="124"/>
      <c r="AS27" s="125"/>
      <c r="AT27" s="110" t="s">
        <v>333</v>
      </c>
      <c r="AU27" s="110"/>
      <c r="AV27" s="110"/>
      <c r="AW27" s="110"/>
      <c r="AX27" s="110"/>
      <c r="AY27" s="110"/>
      <c r="AZ27" s="110"/>
      <c r="BA27" s="110"/>
      <c r="BB27" s="110"/>
      <c r="BC27" s="110"/>
      <c r="BD27" s="110"/>
      <c r="BE27" s="110"/>
      <c r="BF27" s="110"/>
      <c r="BG27" s="110"/>
      <c r="BH27" s="110"/>
      <c r="BI27" s="110"/>
      <c r="BJ27" s="110"/>
      <c r="BK27" s="110"/>
      <c r="BL27" s="110"/>
      <c r="BM27" s="110"/>
      <c r="BN27" s="110"/>
      <c r="BO27" s="110"/>
      <c r="BP27" s="110"/>
      <c r="BQ27" s="111"/>
    </row>
    <row r="28" spans="16:77" ht="33" customHeight="1">
      <c r="R28" s="4"/>
      <c r="S28" s="4"/>
      <c r="T28" s="4"/>
      <c r="U28" s="4"/>
      <c r="V28" s="4"/>
      <c r="W28" s="4"/>
      <c r="X28" s="4"/>
      <c r="Y28" s="4"/>
      <c r="Z28" s="4"/>
      <c r="AA28" s="4"/>
      <c r="AB28" s="4"/>
      <c r="AC28" s="4"/>
      <c r="AD28" s="4"/>
      <c r="AE28" s="4"/>
      <c r="AF28" s="4"/>
      <c r="AG28" s="4"/>
      <c r="AH28" s="4"/>
      <c r="AI28" s="4"/>
      <c r="AJ28" s="2"/>
      <c r="AK28" s="2"/>
      <c r="AL28" s="2"/>
      <c r="AM28" s="2"/>
      <c r="AN28" s="4"/>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row>
    <row r="29" spans="16:77" ht="15" customHeight="1">
      <c r="R29" s="4"/>
      <c r="S29" s="4"/>
      <c r="T29" s="4"/>
      <c r="U29" s="4"/>
      <c r="V29" s="122"/>
      <c r="W29" s="122"/>
      <c r="X29" s="122"/>
      <c r="Y29" s="122"/>
      <c r="Z29" s="122"/>
      <c r="AA29" s="122"/>
      <c r="AB29" s="122"/>
      <c r="AC29" s="122"/>
      <c r="AD29" s="122"/>
      <c r="AE29" s="122"/>
      <c r="AF29" s="122"/>
      <c r="AG29" s="122"/>
      <c r="AH29" s="122"/>
      <c r="AI29" s="122"/>
      <c r="AJ29" s="122"/>
      <c r="AK29" s="122"/>
      <c r="AL29" s="122"/>
      <c r="AM29" s="122"/>
      <c r="AN29" s="122"/>
      <c r="AO29" s="122"/>
      <c r="AP29" s="122"/>
      <c r="AQ29" s="122"/>
      <c r="AR29" s="122"/>
      <c r="AS29" s="122"/>
      <c r="AT29" s="122"/>
      <c r="AU29" s="122"/>
      <c r="AV29" s="122"/>
      <c r="AW29" s="122"/>
      <c r="AX29" s="122"/>
      <c r="AY29" s="122"/>
      <c r="AZ29" s="122"/>
      <c r="BA29" s="122"/>
      <c r="BB29" s="122"/>
      <c r="BC29" s="122"/>
      <c r="BD29" s="122"/>
      <c r="BE29" s="122"/>
      <c r="BF29" s="122"/>
      <c r="BG29" s="122"/>
      <c r="BH29" s="122"/>
      <c r="BI29" s="122"/>
      <c r="BJ29" s="122"/>
      <c r="BK29" s="122"/>
      <c r="BL29" s="122"/>
      <c r="BM29" s="122"/>
      <c r="BN29" s="122"/>
      <c r="BO29" s="122"/>
      <c r="BP29" s="122"/>
      <c r="BQ29" s="122"/>
    </row>
    <row r="30" spans="16:77" ht="25.05" customHeight="1">
      <c r="R30" s="97" t="s">
        <v>341</v>
      </c>
      <c r="S30" s="103"/>
      <c r="T30" s="103"/>
      <c r="U30" s="120"/>
      <c r="V30" s="34">
        <v>0</v>
      </c>
      <c r="W30" s="34">
        <v>1</v>
      </c>
      <c r="X30" s="34">
        <v>2</v>
      </c>
      <c r="Y30" s="34">
        <v>3</v>
      </c>
      <c r="Z30" s="34">
        <v>4</v>
      </c>
      <c r="AA30" s="34">
        <v>5</v>
      </c>
      <c r="AB30" s="34">
        <v>6</v>
      </c>
      <c r="AC30" s="34">
        <v>7</v>
      </c>
      <c r="AD30" s="34">
        <v>8</v>
      </c>
      <c r="AE30" s="34">
        <v>9</v>
      </c>
      <c r="AF30" s="34">
        <v>10</v>
      </c>
      <c r="AG30" s="34">
        <v>11</v>
      </c>
      <c r="AH30" s="34">
        <v>12</v>
      </c>
      <c r="AI30" s="34">
        <v>13</v>
      </c>
      <c r="AJ30" s="34">
        <v>14</v>
      </c>
      <c r="AK30" s="34">
        <v>15</v>
      </c>
      <c r="AL30" s="34">
        <v>16</v>
      </c>
      <c r="AM30" s="34">
        <v>17</v>
      </c>
      <c r="AN30" s="34">
        <v>18</v>
      </c>
      <c r="AO30" s="34">
        <v>19</v>
      </c>
      <c r="AP30" s="34">
        <v>20</v>
      </c>
      <c r="AQ30" s="34">
        <v>21</v>
      </c>
      <c r="AR30" s="34">
        <v>22</v>
      </c>
      <c r="AS30" s="34">
        <v>23</v>
      </c>
      <c r="AT30" s="34">
        <v>24</v>
      </c>
      <c r="AU30" s="34">
        <v>25</v>
      </c>
      <c r="AV30" s="34">
        <v>26</v>
      </c>
      <c r="AW30" s="34">
        <v>27</v>
      </c>
      <c r="AX30" s="34">
        <v>28</v>
      </c>
      <c r="AY30" s="34">
        <v>29</v>
      </c>
      <c r="AZ30" s="34">
        <v>30</v>
      </c>
      <c r="BA30" s="34">
        <v>31</v>
      </c>
      <c r="BB30" s="34">
        <v>32</v>
      </c>
      <c r="BC30" s="34">
        <v>33</v>
      </c>
      <c r="BD30" s="34">
        <v>34</v>
      </c>
      <c r="BE30" s="34">
        <v>35</v>
      </c>
      <c r="BF30" s="34">
        <v>36</v>
      </c>
      <c r="BG30" s="34">
        <v>37</v>
      </c>
      <c r="BH30" s="34">
        <v>38</v>
      </c>
      <c r="BI30" s="34">
        <v>39</v>
      </c>
      <c r="BJ30" s="34">
        <v>40</v>
      </c>
      <c r="BK30" s="34">
        <v>41</v>
      </c>
      <c r="BL30" s="34">
        <v>42</v>
      </c>
      <c r="BM30" s="34">
        <v>43</v>
      </c>
      <c r="BN30" s="34">
        <v>44</v>
      </c>
      <c r="BO30" s="34">
        <v>45</v>
      </c>
      <c r="BP30" s="34">
        <v>46</v>
      </c>
      <c r="BQ30" s="34">
        <v>47</v>
      </c>
      <c r="BR30" s="2"/>
      <c r="BS30" s="2"/>
      <c r="BT30" s="2"/>
      <c r="BU30" s="2"/>
      <c r="BV30" s="2"/>
      <c r="BW30" s="2"/>
    </row>
    <row r="31" spans="16:77" ht="25.05" customHeight="1">
      <c r="R31" s="95"/>
      <c r="S31" s="127"/>
      <c r="T31" s="127"/>
      <c r="U31" s="128"/>
      <c r="V31" s="126" t="s">
        <v>314</v>
      </c>
      <c r="W31" s="126"/>
      <c r="X31" s="126"/>
      <c r="Y31" s="126"/>
      <c r="Z31" s="112" t="s">
        <v>315</v>
      </c>
      <c r="AA31" s="112"/>
      <c r="AB31" s="112"/>
      <c r="AC31" s="112"/>
      <c r="AD31" s="112"/>
      <c r="AE31" s="112"/>
      <c r="AF31" s="112"/>
      <c r="AG31" s="112"/>
      <c r="AH31" s="112"/>
      <c r="AI31" s="112"/>
      <c r="AJ31" s="112"/>
      <c r="AK31" s="112"/>
      <c r="AL31" s="113" t="s">
        <v>316</v>
      </c>
      <c r="AM31" s="113"/>
      <c r="AN31" s="113"/>
      <c r="AO31" s="113"/>
      <c r="AP31" s="113"/>
      <c r="AQ31" s="113"/>
      <c r="AR31" s="113"/>
      <c r="AS31" s="113"/>
      <c r="AT31" s="114" t="s">
        <v>317</v>
      </c>
      <c r="AU31" s="115"/>
      <c r="AV31" s="115"/>
      <c r="AW31" s="115"/>
      <c r="AX31" s="115"/>
      <c r="AY31" s="115"/>
      <c r="AZ31" s="115"/>
      <c r="BA31" s="115"/>
      <c r="BB31" s="115"/>
      <c r="BC31" s="115"/>
      <c r="BD31" s="115"/>
      <c r="BE31" s="116"/>
      <c r="BF31" s="138" t="s">
        <v>560</v>
      </c>
      <c r="BG31" s="138"/>
      <c r="BH31" s="138"/>
      <c r="BI31" s="138"/>
      <c r="BJ31" s="139" t="s">
        <v>318</v>
      </c>
      <c r="BK31" s="140"/>
      <c r="BL31" s="140"/>
      <c r="BM31" s="140"/>
      <c r="BN31" s="140"/>
      <c r="BO31" s="140"/>
      <c r="BP31" s="140"/>
      <c r="BQ31" s="141"/>
    </row>
    <row r="32" spans="16:77" ht="25.05" customHeight="1">
      <c r="R32" s="96"/>
      <c r="S32" s="104"/>
      <c r="T32" s="104"/>
      <c r="U32" s="129"/>
      <c r="V32" s="34">
        <v>1</v>
      </c>
      <c r="W32" s="34">
        <v>0</v>
      </c>
      <c r="X32" s="34">
        <v>1</v>
      </c>
      <c r="Y32" s="34">
        <v>0</v>
      </c>
      <c r="Z32" s="108" t="s">
        <v>319</v>
      </c>
      <c r="AA32" s="108"/>
      <c r="AB32" s="108"/>
      <c r="AC32" s="108"/>
      <c r="AD32" s="108"/>
      <c r="AE32" s="108"/>
      <c r="AF32" s="108"/>
      <c r="AG32" s="108"/>
      <c r="AH32" s="108"/>
      <c r="AI32" s="109"/>
      <c r="AJ32" s="109"/>
      <c r="AK32" s="109"/>
      <c r="AL32" s="34" t="s">
        <v>320</v>
      </c>
      <c r="AM32" s="34" t="s">
        <v>321</v>
      </c>
      <c r="AN32" s="109" t="s">
        <v>336</v>
      </c>
      <c r="AO32" s="110"/>
      <c r="AP32" s="110"/>
      <c r="AQ32" s="110"/>
      <c r="AR32" s="110"/>
      <c r="AS32" s="111"/>
      <c r="AT32" s="109" t="s">
        <v>350</v>
      </c>
      <c r="AU32" s="110"/>
      <c r="AV32" s="110"/>
      <c r="AW32" s="110"/>
      <c r="AX32" s="110"/>
      <c r="AY32" s="110"/>
      <c r="AZ32" s="110"/>
      <c r="BA32" s="110"/>
      <c r="BB32" s="110"/>
      <c r="BC32" s="110"/>
      <c r="BD32" s="110"/>
      <c r="BE32" s="110"/>
      <c r="BF32" s="108" t="s">
        <v>561</v>
      </c>
      <c r="BG32" s="108"/>
      <c r="BH32" s="108"/>
      <c r="BI32" s="108"/>
      <c r="BJ32" s="109" t="s">
        <v>325</v>
      </c>
      <c r="BK32" s="110"/>
      <c r="BL32" s="110"/>
      <c r="BM32" s="110"/>
      <c r="BN32" s="110"/>
      <c r="BO32" s="110"/>
      <c r="BP32" s="110"/>
      <c r="BQ32" s="111"/>
    </row>
    <row r="33" spans="18:75" ht="50.2" customHeight="1">
      <c r="R33" s="142"/>
      <c r="S33" s="142"/>
      <c r="T33" s="142"/>
      <c r="U33" s="142"/>
      <c r="V33" s="142"/>
      <c r="W33" s="142"/>
      <c r="X33" s="142"/>
      <c r="Y33" s="142"/>
      <c r="Z33" s="142"/>
      <c r="AA33" s="142"/>
      <c r="AB33" s="142"/>
      <c r="AC33" s="142"/>
      <c r="AD33" s="142"/>
      <c r="AE33" s="142"/>
      <c r="AF33" s="142"/>
      <c r="AG33" s="142"/>
      <c r="AH33" s="142"/>
      <c r="AI33" s="142"/>
      <c r="AJ33" s="142"/>
      <c r="AK33" s="143"/>
      <c r="AL33" s="118">
        <v>1</v>
      </c>
      <c r="AM33" s="36">
        <v>1</v>
      </c>
      <c r="AN33" s="144" t="s">
        <v>351</v>
      </c>
      <c r="AO33" s="145"/>
      <c r="AP33" s="145"/>
      <c r="AQ33" s="145"/>
      <c r="AR33" s="145"/>
      <c r="AS33" s="145"/>
      <c r="AT33" s="22"/>
      <c r="AU33" s="23"/>
      <c r="AV33" s="23"/>
      <c r="AW33" s="23"/>
      <c r="AX33" s="23"/>
      <c r="AY33" s="23"/>
      <c r="AZ33" s="23"/>
      <c r="BA33" s="23"/>
      <c r="BB33" s="23"/>
      <c r="BC33" s="23"/>
      <c r="BD33" s="23"/>
      <c r="BE33" s="23"/>
      <c r="BF33" s="2"/>
      <c r="BG33" s="2"/>
      <c r="BH33" s="2"/>
      <c r="BI33" s="2"/>
      <c r="BJ33" s="2"/>
      <c r="BK33" s="2"/>
    </row>
    <row r="34" spans="18:75" ht="50.2" customHeight="1">
      <c r="R34" s="123" t="s">
        <v>338</v>
      </c>
      <c r="S34" s="124"/>
      <c r="T34" s="124"/>
      <c r="U34" s="124"/>
      <c r="V34" s="124"/>
      <c r="W34" s="124"/>
      <c r="X34" s="124"/>
      <c r="Y34" s="124"/>
      <c r="Z34" s="124"/>
      <c r="AA34" s="124"/>
      <c r="AB34" s="124"/>
      <c r="AC34" s="124"/>
      <c r="AD34" s="124"/>
      <c r="AE34" s="124"/>
      <c r="AF34" s="124"/>
      <c r="AG34" s="124"/>
      <c r="AH34" s="124"/>
      <c r="AI34" s="124"/>
      <c r="AJ34" s="124"/>
      <c r="AK34" s="125"/>
      <c r="AL34" s="119"/>
      <c r="AM34" s="34">
        <v>0</v>
      </c>
      <c r="AN34" s="123" t="s">
        <v>340</v>
      </c>
      <c r="AO34" s="110"/>
      <c r="AP34" s="110"/>
      <c r="AQ34" s="110"/>
      <c r="AR34" s="110"/>
      <c r="AS34" s="111"/>
      <c r="AT34" s="96" t="s">
        <v>330</v>
      </c>
      <c r="AU34" s="104"/>
      <c r="AV34" s="104"/>
      <c r="AW34" s="104"/>
      <c r="AX34" s="104"/>
      <c r="AY34" s="104"/>
      <c r="AZ34" s="104"/>
      <c r="BA34" s="104"/>
      <c r="BB34" s="104"/>
      <c r="BC34" s="104"/>
      <c r="BD34" s="104"/>
      <c r="BE34" s="129"/>
      <c r="BF34" s="2"/>
      <c r="BG34" s="2"/>
      <c r="BH34" s="2"/>
      <c r="BI34" s="2"/>
      <c r="BJ34" s="2"/>
      <c r="BK34" s="2"/>
      <c r="BN34" s="2"/>
      <c r="BO34" s="2"/>
      <c r="BP34" s="2"/>
      <c r="BQ34" s="2"/>
      <c r="BR34" s="2"/>
      <c r="BS34" s="2"/>
      <c r="BT34" s="2"/>
      <c r="BU34" s="2"/>
      <c r="BV34" s="2"/>
      <c r="BW34" s="2"/>
    </row>
  </sheetData>
  <mergeCells count="104">
    <mergeCell ref="BR20:BY20"/>
    <mergeCell ref="V1:AC1"/>
    <mergeCell ref="AD1:AK1"/>
    <mergeCell ref="AL1:AS1"/>
    <mergeCell ref="AT1:BA1"/>
    <mergeCell ref="BB1:BI1"/>
    <mergeCell ref="BJ1:BQ1"/>
    <mergeCell ref="BR1:BY1"/>
    <mergeCell ref="BF15:BI15"/>
    <mergeCell ref="BF16:BI16"/>
    <mergeCell ref="BJ15:BQ15"/>
    <mergeCell ref="BJ16:BQ16"/>
    <mergeCell ref="V13:AC13"/>
    <mergeCell ref="AD13:AK13"/>
    <mergeCell ref="AL13:AS13"/>
    <mergeCell ref="AT13:BA13"/>
    <mergeCell ref="V20:AC20"/>
    <mergeCell ref="AD20:AK20"/>
    <mergeCell ref="AL20:AS20"/>
    <mergeCell ref="AO8:AS8"/>
    <mergeCell ref="AO9:AS9"/>
    <mergeCell ref="AO10:AS10"/>
    <mergeCell ref="AO11:AS11"/>
    <mergeCell ref="AT16:BE16"/>
    <mergeCell ref="AT34:BE34"/>
    <mergeCell ref="R33:AK33"/>
    <mergeCell ref="AL33:AL34"/>
    <mergeCell ref="AN33:AS33"/>
    <mergeCell ref="R34:AK34"/>
    <mergeCell ref="AN34:AS34"/>
    <mergeCell ref="BF32:BI32"/>
    <mergeCell ref="V29:AC29"/>
    <mergeCell ref="AD29:AK29"/>
    <mergeCell ref="AL29:AS29"/>
    <mergeCell ref="AT29:BA29"/>
    <mergeCell ref="BB29:BI29"/>
    <mergeCell ref="AO23:AS23"/>
    <mergeCell ref="AT17:BE17"/>
    <mergeCell ref="AT27:BQ27"/>
    <mergeCell ref="AT25:BE25"/>
    <mergeCell ref="AL17:AL18"/>
    <mergeCell ref="AN17:AS17"/>
    <mergeCell ref="AL22:AS22"/>
    <mergeCell ref="BJ32:BQ32"/>
    <mergeCell ref="AL31:AS31"/>
    <mergeCell ref="AT31:BE31"/>
    <mergeCell ref="AO27:AS27"/>
    <mergeCell ref="AO25:AS25"/>
    <mergeCell ref="AO26:AS26"/>
    <mergeCell ref="BF25:BQ25"/>
    <mergeCell ref="AT26:BE26"/>
    <mergeCell ref="BF31:BI31"/>
    <mergeCell ref="BJ31:BQ31"/>
    <mergeCell ref="BJ29:BQ29"/>
    <mergeCell ref="AN32:AS32"/>
    <mergeCell ref="AT32:BE32"/>
    <mergeCell ref="AN16:AS16"/>
    <mergeCell ref="AN18:AS18"/>
    <mergeCell ref="BJ20:BQ20"/>
    <mergeCell ref="AT20:BA20"/>
    <mergeCell ref="BB20:BI20"/>
    <mergeCell ref="V15:Y15"/>
    <mergeCell ref="R2:U4"/>
    <mergeCell ref="V31:Y31"/>
    <mergeCell ref="R30:U32"/>
    <mergeCell ref="Z16:AK16"/>
    <mergeCell ref="V22:Y22"/>
    <mergeCell ref="Z22:AK22"/>
    <mergeCell ref="R17:AK18"/>
    <mergeCell ref="Z31:AK31"/>
    <mergeCell ref="R21:U23"/>
    <mergeCell ref="R25:AK27"/>
    <mergeCell ref="R14:U16"/>
    <mergeCell ref="Z15:AK15"/>
    <mergeCell ref="Z32:AK32"/>
    <mergeCell ref="V3:Y3"/>
    <mergeCell ref="R5:AK11"/>
    <mergeCell ref="AT22:BQ22"/>
    <mergeCell ref="AL24:AL27"/>
    <mergeCell ref="AP24:AS24"/>
    <mergeCell ref="BR22:BY22"/>
    <mergeCell ref="Z23:AK23"/>
    <mergeCell ref="BR23:BY23"/>
    <mergeCell ref="AT23:BQ23"/>
    <mergeCell ref="BR3:BY3"/>
    <mergeCell ref="Z4:AK4"/>
    <mergeCell ref="AT4:BQ4"/>
    <mergeCell ref="BR4:BY4"/>
    <mergeCell ref="Z3:AK3"/>
    <mergeCell ref="AL3:AS3"/>
    <mergeCell ref="AT3:BQ3"/>
    <mergeCell ref="AO4:AS4"/>
    <mergeCell ref="AL5:AL11"/>
    <mergeCell ref="AT7:BE7"/>
    <mergeCell ref="AT8:BE8"/>
    <mergeCell ref="AT15:BE15"/>
    <mergeCell ref="AL15:AS15"/>
    <mergeCell ref="BB13:BI13"/>
    <mergeCell ref="BJ13:BQ13"/>
    <mergeCell ref="AT9:BQ9"/>
    <mergeCell ref="AT10:BQ10"/>
    <mergeCell ref="AO5:AS5"/>
    <mergeCell ref="AO6:AS6"/>
    <mergeCell ref="AO7:AS7"/>
  </mergeCells>
  <phoneticPr fontId="1" type="noConversion"/>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F85D1-965A-4DD9-A5E8-53320C7175B9}">
  <dimension ref="B2:AF53"/>
  <sheetViews>
    <sheetView zoomScaleNormal="100" workbookViewId="0">
      <selection activeCell="AH1" sqref="AH1"/>
    </sheetView>
  </sheetViews>
  <sheetFormatPr defaultColWidth="8.6875" defaultRowHeight="15" customHeight="1"/>
  <cols>
    <col min="1" max="1" width="8.6875" style="63"/>
    <col min="2" max="2" width="20.75" style="63" bestFit="1" customWidth="1"/>
    <col min="3" max="3" width="8" style="67" bestFit="1" customWidth="1"/>
    <col min="4" max="4" width="8.5" style="67" bestFit="1" customWidth="1"/>
    <col min="5" max="5" width="7.5" style="67" bestFit="1" customWidth="1"/>
    <col min="6" max="6" width="10.5625" style="68" bestFit="1" customWidth="1"/>
    <col min="7" max="7" width="8.5" style="68" bestFit="1" customWidth="1"/>
    <col min="8" max="8" width="7.5" style="68" bestFit="1" customWidth="1"/>
    <col min="9" max="9" width="7.5625" style="68" bestFit="1" customWidth="1"/>
    <col min="10" max="11" width="8.6875" style="63" customWidth="1"/>
    <col min="12" max="12" width="11.8125" style="63" hidden="1" customWidth="1"/>
    <col min="13" max="13" width="7.8125" style="63" hidden="1" customWidth="1"/>
    <col min="14" max="14" width="13" style="63" hidden="1" customWidth="1"/>
    <col min="15" max="22" width="3.8125" style="63" hidden="1" customWidth="1"/>
    <col min="23" max="23" width="11.3125" style="63" hidden="1" customWidth="1"/>
    <col min="24" max="31" width="3.8125" style="63" hidden="1" customWidth="1"/>
    <col min="32" max="32" width="9" style="63" hidden="1" customWidth="1"/>
    <col min="33" max="16384" width="8.6875" style="63"/>
  </cols>
  <sheetData>
    <row r="2" spans="2:32" ht="15" customHeight="1">
      <c r="B2" s="146" t="s">
        <v>674</v>
      </c>
      <c r="C2" s="147" t="s">
        <v>675</v>
      </c>
      <c r="D2" s="147"/>
      <c r="E2" s="147"/>
      <c r="F2" s="146" t="s">
        <v>680</v>
      </c>
      <c r="G2" s="146"/>
      <c r="H2" s="146"/>
      <c r="I2" s="146" t="s">
        <v>682</v>
      </c>
      <c r="O2" s="63">
        <v>7</v>
      </c>
      <c r="P2" s="63">
        <v>6</v>
      </c>
      <c r="Q2" s="63">
        <v>5</v>
      </c>
      <c r="R2" s="63">
        <v>4</v>
      </c>
      <c r="S2" s="63">
        <v>3</v>
      </c>
      <c r="T2" s="63">
        <v>2</v>
      </c>
      <c r="U2" s="63">
        <v>1</v>
      </c>
      <c r="V2" s="63">
        <v>0</v>
      </c>
      <c r="X2" s="63">
        <v>7</v>
      </c>
      <c r="Y2" s="63">
        <v>6</v>
      </c>
      <c r="Z2" s="63">
        <v>5</v>
      </c>
      <c r="AA2" s="63">
        <v>4</v>
      </c>
      <c r="AB2" s="63">
        <v>3</v>
      </c>
      <c r="AC2" s="63">
        <v>2</v>
      </c>
      <c r="AD2" s="63">
        <v>1</v>
      </c>
      <c r="AE2" s="63">
        <v>0</v>
      </c>
    </row>
    <row r="3" spans="2:32" ht="23.25">
      <c r="B3" s="146"/>
      <c r="C3" s="62" t="s">
        <v>676</v>
      </c>
      <c r="D3" s="62" t="s">
        <v>678</v>
      </c>
      <c r="E3" s="62" t="s">
        <v>679</v>
      </c>
      <c r="F3" s="62" t="s">
        <v>681</v>
      </c>
      <c r="G3" s="62" t="s">
        <v>677</v>
      </c>
      <c r="H3" s="62" t="s">
        <v>679</v>
      </c>
      <c r="I3" s="146"/>
      <c r="L3" s="73" t="s">
        <v>714</v>
      </c>
      <c r="M3" s="73"/>
      <c r="N3" s="73"/>
    </row>
    <row r="4" spans="2:32" ht="15" customHeight="1">
      <c r="B4" s="64" t="s">
        <v>683</v>
      </c>
      <c r="C4" s="59" t="str">
        <f>_xlfn.CONCAT("0x",BIN2HEX(_xlfn.CONCAT(O4,P4,Q4,R4,S4,T4,U4,V4,),2))</f>
        <v>0xB1</v>
      </c>
      <c r="D4" s="59" t="s">
        <v>710</v>
      </c>
      <c r="E4" s="59" t="s">
        <v>710</v>
      </c>
      <c r="F4" s="65"/>
      <c r="G4" s="66" t="s">
        <v>11</v>
      </c>
      <c r="H4" s="66" t="s">
        <v>11</v>
      </c>
      <c r="I4" s="58">
        <v>0</v>
      </c>
      <c r="L4" s="73" t="s">
        <v>715</v>
      </c>
      <c r="M4" s="73" t="s">
        <v>716</v>
      </c>
      <c r="N4" s="73" t="s">
        <v>722</v>
      </c>
      <c r="O4" s="63">
        <v>1</v>
      </c>
      <c r="P4" s="63">
        <v>0</v>
      </c>
      <c r="Q4" s="63">
        <v>1</v>
      </c>
      <c r="R4" s="63">
        <v>1</v>
      </c>
      <c r="S4" s="63">
        <v>0</v>
      </c>
      <c r="T4" s="63">
        <v>0</v>
      </c>
      <c r="U4" s="63">
        <v>0</v>
      </c>
      <c r="V4" s="63">
        <v>1</v>
      </c>
      <c r="W4" s="63" t="str">
        <f t="shared" ref="W4:W9" si="0">BIN2HEX(_xlfn.CONCAT(Q4,R4,S4,T4,U4,V4),2)</f>
        <v>31</v>
      </c>
    </row>
    <row r="5" spans="2:32" ht="15" customHeight="1">
      <c r="B5" s="59" t="s">
        <v>15</v>
      </c>
      <c r="C5" s="59" t="str">
        <f t="shared" ref="C5:C53" si="1">_xlfn.CONCAT("0x",BIN2HEX(_xlfn.CONCAT(O5,P5,Q5,R5,S5,T5,U5,V5,),2))</f>
        <v>0xB2</v>
      </c>
      <c r="D5" s="59" t="s">
        <v>711</v>
      </c>
      <c r="E5" s="59" t="s">
        <v>711</v>
      </c>
      <c r="F5" s="65"/>
      <c r="G5" s="66" t="s">
        <v>11</v>
      </c>
      <c r="H5" s="66" t="s">
        <v>11</v>
      </c>
      <c r="I5" s="58">
        <v>0</v>
      </c>
      <c r="L5" s="73"/>
      <c r="M5" s="73" t="s">
        <v>717</v>
      </c>
      <c r="N5" s="73" t="s">
        <v>723</v>
      </c>
      <c r="O5" s="63">
        <v>1</v>
      </c>
      <c r="P5" s="63">
        <v>0</v>
      </c>
      <c r="Q5" s="63">
        <v>1</v>
      </c>
      <c r="R5" s="63">
        <v>1</v>
      </c>
      <c r="S5" s="63">
        <v>0</v>
      </c>
      <c r="T5" s="63">
        <v>0</v>
      </c>
      <c r="U5" s="63">
        <v>1</v>
      </c>
      <c r="V5" s="63">
        <v>0</v>
      </c>
      <c r="W5" s="63" t="str">
        <f t="shared" si="0"/>
        <v>32</v>
      </c>
    </row>
    <row r="6" spans="2:32" ht="15" customHeight="1">
      <c r="B6" s="59" t="s">
        <v>684</v>
      </c>
      <c r="C6" s="59" t="str">
        <f t="shared" si="1"/>
        <v>0xB3</v>
      </c>
      <c r="D6" s="59" t="s">
        <v>710</v>
      </c>
      <c r="E6" s="59" t="s">
        <v>710</v>
      </c>
      <c r="F6" s="59" t="str">
        <f>_xlfn.CONCAT("0x",BIN2HEX(_xlfn.CONCAT(X6,Y6,Z6,AA6,AB6,AC6,AD6,AE6),2))</f>
        <v>0xF3</v>
      </c>
      <c r="G6" s="59" t="s">
        <v>710</v>
      </c>
      <c r="H6" s="59" t="s">
        <v>711</v>
      </c>
      <c r="I6" s="58">
        <v>0</v>
      </c>
      <c r="L6" s="73"/>
      <c r="M6" s="73" t="s">
        <v>718</v>
      </c>
      <c r="N6" s="73" t="s">
        <v>719</v>
      </c>
      <c r="O6" s="63">
        <v>1</v>
      </c>
      <c r="P6" s="63">
        <v>0</v>
      </c>
      <c r="Q6" s="63">
        <v>1</v>
      </c>
      <c r="R6" s="63">
        <v>1</v>
      </c>
      <c r="S6" s="63">
        <v>0</v>
      </c>
      <c r="T6" s="63">
        <v>0</v>
      </c>
      <c r="U6" s="63">
        <v>1</v>
      </c>
      <c r="V6" s="63">
        <v>1</v>
      </c>
      <c r="W6" s="63" t="str">
        <f t="shared" si="0"/>
        <v>33</v>
      </c>
      <c r="X6" s="63">
        <v>1</v>
      </c>
      <c r="Y6" s="63">
        <v>1</v>
      </c>
      <c r="Z6" s="63">
        <v>1</v>
      </c>
      <c r="AA6" s="63">
        <v>1</v>
      </c>
      <c r="AB6" s="63">
        <v>0</v>
      </c>
      <c r="AC6" s="63">
        <v>0</v>
      </c>
      <c r="AD6" s="63">
        <v>1</v>
      </c>
      <c r="AE6" s="63">
        <v>1</v>
      </c>
      <c r="AF6" s="63" t="str">
        <f>BIN2HEX(_xlfn.CONCAT(Z6,AA6,AB6,AC6,AD6,AE6),2)</f>
        <v>33</v>
      </c>
    </row>
    <row r="7" spans="2:32" ht="15" customHeight="1">
      <c r="B7" s="59" t="s">
        <v>25</v>
      </c>
      <c r="C7" s="59" t="str">
        <f t="shared" si="1"/>
        <v>0xB4</v>
      </c>
      <c r="D7" s="59" t="s">
        <v>710</v>
      </c>
      <c r="E7" s="59" t="s">
        <v>710</v>
      </c>
      <c r="F7" s="59" t="str">
        <f t="shared" ref="F7:F26" si="2">_xlfn.CONCAT("0x",BIN2HEX(_xlfn.CONCAT(X7,Y7,Z7,AA7,AB7,AC7,AD7,AE7),2))</f>
        <v>0xF4</v>
      </c>
      <c r="G7" s="59" t="s">
        <v>710</v>
      </c>
      <c r="H7" s="59" t="s">
        <v>711</v>
      </c>
      <c r="I7" s="58">
        <v>0</v>
      </c>
      <c r="L7" s="73" t="s">
        <v>720</v>
      </c>
      <c r="M7" s="148" t="s">
        <v>721</v>
      </c>
      <c r="N7" s="148"/>
      <c r="O7" s="63">
        <v>1</v>
      </c>
      <c r="P7" s="63">
        <v>0</v>
      </c>
      <c r="Q7" s="63">
        <v>1</v>
      </c>
      <c r="R7" s="63">
        <v>1</v>
      </c>
      <c r="S7" s="63">
        <v>0</v>
      </c>
      <c r="T7" s="63">
        <v>1</v>
      </c>
      <c r="U7" s="63">
        <v>0</v>
      </c>
      <c r="V7" s="63">
        <v>0</v>
      </c>
      <c r="W7" s="63" t="str">
        <f t="shared" si="0"/>
        <v>34</v>
      </c>
      <c r="X7" s="63">
        <v>1</v>
      </c>
      <c r="Y7" s="63">
        <v>1</v>
      </c>
      <c r="Z7" s="63">
        <v>1</v>
      </c>
      <c r="AA7" s="63">
        <v>1</v>
      </c>
      <c r="AB7" s="63">
        <v>0</v>
      </c>
      <c r="AC7" s="63">
        <v>1</v>
      </c>
      <c r="AD7" s="63">
        <v>0</v>
      </c>
      <c r="AE7" s="63">
        <v>0</v>
      </c>
      <c r="AF7" s="63" t="str">
        <f>BIN2HEX(_xlfn.CONCAT(Z7,AA7,AB7,AC7,AD7,AE7),2)</f>
        <v>34</v>
      </c>
    </row>
    <row r="8" spans="2:32" ht="15" customHeight="1">
      <c r="B8" s="59" t="s">
        <v>31</v>
      </c>
      <c r="C8" s="59" t="str">
        <f t="shared" si="1"/>
        <v>0xB8</v>
      </c>
      <c r="D8" s="59" t="s">
        <v>710</v>
      </c>
      <c r="E8" s="59" t="s">
        <v>710</v>
      </c>
      <c r="F8" s="59" t="str">
        <f t="shared" si="2"/>
        <v>0xF8</v>
      </c>
      <c r="G8" s="59" t="s">
        <v>710</v>
      </c>
      <c r="H8" s="59" t="s">
        <v>711</v>
      </c>
      <c r="I8" s="58">
        <v>0</v>
      </c>
      <c r="O8" s="63">
        <v>1</v>
      </c>
      <c r="P8" s="63">
        <v>0</v>
      </c>
      <c r="Q8" s="63">
        <v>1</v>
      </c>
      <c r="R8" s="63">
        <v>1</v>
      </c>
      <c r="S8" s="63">
        <v>1</v>
      </c>
      <c r="T8" s="63">
        <v>0</v>
      </c>
      <c r="U8" s="63">
        <v>0</v>
      </c>
      <c r="V8" s="63">
        <v>0</v>
      </c>
      <c r="W8" s="63" t="str">
        <f t="shared" si="0"/>
        <v>38</v>
      </c>
      <c r="X8" s="63">
        <v>1</v>
      </c>
      <c r="Y8" s="63">
        <v>1</v>
      </c>
      <c r="Z8" s="63">
        <v>1</v>
      </c>
      <c r="AA8" s="63">
        <v>1</v>
      </c>
      <c r="AB8" s="63">
        <v>1</v>
      </c>
      <c r="AC8" s="63">
        <v>0</v>
      </c>
      <c r="AD8" s="63">
        <v>0</v>
      </c>
      <c r="AE8" s="63">
        <v>0</v>
      </c>
      <c r="AF8" s="63" t="str">
        <f>BIN2HEX(_xlfn.CONCAT(Z8,AA8,AB8,AC8,AD8,AE8),2)</f>
        <v>38</v>
      </c>
    </row>
    <row r="9" spans="2:32" ht="15" customHeight="1">
      <c r="B9" s="59" t="s">
        <v>37</v>
      </c>
      <c r="C9" s="59" t="str">
        <f t="shared" si="1"/>
        <v>0xBC</v>
      </c>
      <c r="D9" s="59" t="s">
        <v>710</v>
      </c>
      <c r="E9" s="59" t="s">
        <v>710</v>
      </c>
      <c r="F9" s="59" t="str">
        <f t="shared" si="2"/>
        <v>0xFC</v>
      </c>
      <c r="G9" s="59" t="s">
        <v>710</v>
      </c>
      <c r="H9" s="59" t="s">
        <v>711</v>
      </c>
      <c r="I9" s="58">
        <v>0</v>
      </c>
      <c r="O9" s="63">
        <v>1</v>
      </c>
      <c r="P9" s="63">
        <v>0</v>
      </c>
      <c r="Q9" s="63">
        <v>1</v>
      </c>
      <c r="R9" s="63">
        <v>1</v>
      </c>
      <c r="S9" s="63">
        <v>1</v>
      </c>
      <c r="T9" s="63">
        <v>1</v>
      </c>
      <c r="U9" s="63">
        <v>0</v>
      </c>
      <c r="V9" s="63">
        <v>0</v>
      </c>
      <c r="W9" s="63" t="str">
        <f t="shared" si="0"/>
        <v>3C</v>
      </c>
      <c r="X9" s="63">
        <v>1</v>
      </c>
      <c r="Y9" s="63">
        <v>1</v>
      </c>
      <c r="Z9" s="63">
        <v>1</v>
      </c>
      <c r="AA9" s="63">
        <v>1</v>
      </c>
      <c r="AB9" s="63">
        <v>1</v>
      </c>
      <c r="AC9" s="63">
        <v>1</v>
      </c>
      <c r="AD9" s="63">
        <v>0</v>
      </c>
      <c r="AE9" s="63">
        <v>0</v>
      </c>
      <c r="AF9" s="63" t="str">
        <f>BIN2HEX(_xlfn.CONCAT(Z9,AA9,AB9,AC9,AD9,AE9),2)</f>
        <v>3C</v>
      </c>
    </row>
    <row r="10" spans="2:32" ht="15" customHeight="1">
      <c r="B10" s="64" t="s">
        <v>685</v>
      </c>
      <c r="C10" s="59" t="str">
        <f t="shared" si="1"/>
        <v>0x86</v>
      </c>
      <c r="D10" s="59" t="s">
        <v>710</v>
      </c>
      <c r="E10" s="59" t="s">
        <v>710</v>
      </c>
      <c r="F10" s="59" t="str">
        <f t="shared" si="2"/>
        <v>0xC6</v>
      </c>
      <c r="G10" s="59" t="s">
        <v>710</v>
      </c>
      <c r="H10" s="59" t="s">
        <v>711</v>
      </c>
      <c r="I10" s="58">
        <v>12</v>
      </c>
      <c r="O10" s="63">
        <v>1</v>
      </c>
      <c r="P10" s="63">
        <v>0</v>
      </c>
      <c r="Q10" s="63">
        <v>0</v>
      </c>
      <c r="R10" s="63">
        <v>0</v>
      </c>
      <c r="S10" s="63">
        <v>0</v>
      </c>
      <c r="T10" s="63">
        <v>1</v>
      </c>
      <c r="U10" s="63">
        <v>1</v>
      </c>
      <c r="V10" s="63">
        <v>0</v>
      </c>
      <c r="W10" s="63" t="str">
        <f>BIN2HEX(_xlfn.CONCAT(Q10,R10,S10,T10,U10,V10),2)</f>
        <v>06</v>
      </c>
      <c r="X10" s="63">
        <v>1</v>
      </c>
      <c r="Y10" s="63">
        <v>1</v>
      </c>
      <c r="Z10" s="63">
        <v>0</v>
      </c>
      <c r="AA10" s="63">
        <v>0</v>
      </c>
      <c r="AB10" s="63">
        <v>0</v>
      </c>
      <c r="AC10" s="63">
        <v>1</v>
      </c>
      <c r="AD10" s="63">
        <v>1</v>
      </c>
      <c r="AE10" s="63">
        <v>0</v>
      </c>
      <c r="AF10" s="63" t="str">
        <f>BIN2HEX(_xlfn.CONCAT(Z10,AA10,AB10,AC10,AD10,AE10),2)</f>
        <v>06</v>
      </c>
    </row>
    <row r="11" spans="2:32" ht="15" customHeight="1">
      <c r="B11" s="64" t="s">
        <v>686</v>
      </c>
      <c r="C11" s="59" t="str">
        <f t="shared" si="1"/>
        <v>0x87</v>
      </c>
      <c r="D11" s="59" t="s">
        <v>710</v>
      </c>
      <c r="E11" s="59" t="s">
        <v>710</v>
      </c>
      <c r="F11" s="59" t="str">
        <f t="shared" si="2"/>
        <v>0xC7</v>
      </c>
      <c r="G11" s="59" t="s">
        <v>710</v>
      </c>
      <c r="H11" s="59" t="s">
        <v>711</v>
      </c>
      <c r="I11" s="58">
        <v>12</v>
      </c>
      <c r="O11" s="63">
        <v>1</v>
      </c>
      <c r="P11" s="63">
        <v>0</v>
      </c>
      <c r="Q11" s="63">
        <v>0</v>
      </c>
      <c r="R11" s="63">
        <v>0</v>
      </c>
      <c r="S11" s="63">
        <v>0</v>
      </c>
      <c r="T11" s="63">
        <v>1</v>
      </c>
      <c r="U11" s="63">
        <v>1</v>
      </c>
      <c r="V11" s="63">
        <v>1</v>
      </c>
      <c r="W11" s="63" t="str">
        <f t="shared" ref="W11:W52" si="3">BIN2HEX(_xlfn.CONCAT(Q11,R11,S11,T11,U11,V11),2)</f>
        <v>07</v>
      </c>
      <c r="X11" s="63">
        <v>1</v>
      </c>
      <c r="Y11" s="63">
        <v>1</v>
      </c>
      <c r="Z11" s="63">
        <v>0</v>
      </c>
      <c r="AA11" s="63">
        <v>0</v>
      </c>
      <c r="AB11" s="63">
        <v>0</v>
      </c>
      <c r="AC11" s="63">
        <v>1</v>
      </c>
      <c r="AD11" s="63">
        <v>1</v>
      </c>
      <c r="AE11" s="63">
        <v>1</v>
      </c>
      <c r="AF11" s="63" t="str">
        <f t="shared" ref="AF11:AF26" si="4">BIN2HEX(_xlfn.CONCAT(Z11,AA11,AB11,AC11,AD11,AE11),2)</f>
        <v>07</v>
      </c>
    </row>
    <row r="12" spans="2:32" ht="15" customHeight="1">
      <c r="B12" s="59" t="s">
        <v>687</v>
      </c>
      <c r="C12" s="59" t="str">
        <f>_xlfn.CONCAT("0x",BIN2HEX(_xlfn.CONCAT(O12,P12,Q12,R12,S12,T12,U12,V12,),2))</f>
        <v>0x88</v>
      </c>
      <c r="D12" s="59" t="s">
        <v>711</v>
      </c>
      <c r="E12" s="59" t="s">
        <v>711</v>
      </c>
      <c r="F12" s="59" t="str">
        <f t="shared" si="2"/>
        <v>0xC8</v>
      </c>
      <c r="G12" s="59" t="s">
        <v>711</v>
      </c>
      <c r="H12" s="59" t="s">
        <v>711</v>
      </c>
      <c r="I12" s="58">
        <v>24</v>
      </c>
      <c r="O12" s="63">
        <v>1</v>
      </c>
      <c r="P12" s="63">
        <v>0</v>
      </c>
      <c r="Q12" s="63">
        <v>0</v>
      </c>
      <c r="R12" s="63">
        <v>0</v>
      </c>
      <c r="S12" s="63">
        <v>1</v>
      </c>
      <c r="T12" s="63">
        <v>0</v>
      </c>
      <c r="U12" s="63">
        <v>0</v>
      </c>
      <c r="V12" s="63">
        <v>0</v>
      </c>
      <c r="W12" s="63" t="str">
        <f t="shared" si="3"/>
        <v>08</v>
      </c>
      <c r="X12" s="63">
        <v>1</v>
      </c>
      <c r="Y12" s="63">
        <v>1</v>
      </c>
      <c r="Z12" s="63">
        <v>0</v>
      </c>
      <c r="AA12" s="63">
        <v>0</v>
      </c>
      <c r="AB12" s="63">
        <v>1</v>
      </c>
      <c r="AC12" s="63">
        <v>0</v>
      </c>
      <c r="AD12" s="63">
        <v>0</v>
      </c>
      <c r="AE12" s="63">
        <v>0</v>
      </c>
      <c r="AF12" s="63" t="str">
        <f t="shared" si="4"/>
        <v>08</v>
      </c>
    </row>
    <row r="13" spans="2:32" ht="15" customHeight="1">
      <c r="B13" s="64" t="s">
        <v>688</v>
      </c>
      <c r="C13" s="59" t="str">
        <f t="shared" si="1"/>
        <v>0xA0</v>
      </c>
      <c r="D13" s="59" t="s">
        <v>710</v>
      </c>
      <c r="E13" s="59" t="s">
        <v>710</v>
      </c>
      <c r="F13" s="59" t="str">
        <f t="shared" si="2"/>
        <v>0xE0</v>
      </c>
      <c r="G13" s="59" t="s">
        <v>710</v>
      </c>
      <c r="H13" s="59" t="s">
        <v>711</v>
      </c>
      <c r="I13" s="58">
        <v>24</v>
      </c>
      <c r="O13" s="63">
        <v>1</v>
      </c>
      <c r="P13" s="63">
        <v>0</v>
      </c>
      <c r="Q13" s="63">
        <v>1</v>
      </c>
      <c r="R13" s="63">
        <v>0</v>
      </c>
      <c r="S13" s="63">
        <v>0</v>
      </c>
      <c r="T13" s="63">
        <v>0</v>
      </c>
      <c r="U13" s="63">
        <v>0</v>
      </c>
      <c r="V13" s="63">
        <v>0</v>
      </c>
      <c r="W13" s="63" t="str">
        <f t="shared" si="3"/>
        <v>20</v>
      </c>
      <c r="X13" s="63">
        <v>1</v>
      </c>
      <c r="Y13" s="63">
        <v>1</v>
      </c>
      <c r="Z13" s="63">
        <v>1</v>
      </c>
      <c r="AA13" s="63">
        <v>0</v>
      </c>
      <c r="AB13" s="63">
        <v>0</v>
      </c>
      <c r="AC13" s="63">
        <v>0</v>
      </c>
      <c r="AD13" s="63">
        <v>0</v>
      </c>
      <c r="AE13" s="63">
        <v>0</v>
      </c>
      <c r="AF13" s="63" t="str">
        <f t="shared" si="4"/>
        <v>20</v>
      </c>
    </row>
    <row r="14" spans="2:32" ht="15" customHeight="1">
      <c r="B14" s="64" t="s">
        <v>689</v>
      </c>
      <c r="C14" s="59" t="str">
        <f t="shared" si="1"/>
        <v>0x8A</v>
      </c>
      <c r="D14" s="59" t="s">
        <v>710</v>
      </c>
      <c r="E14" s="59" t="s">
        <v>710</v>
      </c>
      <c r="F14" s="59" t="str">
        <f t="shared" si="2"/>
        <v>0xCA</v>
      </c>
      <c r="G14" s="59" t="s">
        <v>710</v>
      </c>
      <c r="H14" s="59" t="s">
        <v>711</v>
      </c>
      <c r="I14" s="58">
        <v>12</v>
      </c>
      <c r="O14" s="63">
        <v>1</v>
      </c>
      <c r="P14" s="63">
        <v>0</v>
      </c>
      <c r="Q14" s="63">
        <v>0</v>
      </c>
      <c r="R14" s="63">
        <v>0</v>
      </c>
      <c r="S14" s="63">
        <v>1</v>
      </c>
      <c r="T14" s="63">
        <v>0</v>
      </c>
      <c r="U14" s="63">
        <v>1</v>
      </c>
      <c r="V14" s="63">
        <v>0</v>
      </c>
      <c r="W14" s="63" t="str">
        <f t="shared" si="3"/>
        <v>0A</v>
      </c>
      <c r="X14" s="63">
        <v>1</v>
      </c>
      <c r="Y14" s="63">
        <v>1</v>
      </c>
      <c r="Z14" s="63">
        <v>0</v>
      </c>
      <c r="AA14" s="63">
        <v>0</v>
      </c>
      <c r="AB14" s="63">
        <v>1</v>
      </c>
      <c r="AC14" s="63">
        <v>0</v>
      </c>
      <c r="AD14" s="63">
        <v>1</v>
      </c>
      <c r="AE14" s="63">
        <v>0</v>
      </c>
      <c r="AF14" s="63" t="str">
        <f t="shared" si="4"/>
        <v>0A</v>
      </c>
    </row>
    <row r="15" spans="2:32" ht="15" customHeight="1">
      <c r="B15" s="64" t="s">
        <v>690</v>
      </c>
      <c r="C15" s="59" t="str">
        <f t="shared" si="1"/>
        <v>0x8B</v>
      </c>
      <c r="D15" s="59" t="s">
        <v>710</v>
      </c>
      <c r="E15" s="59" t="s">
        <v>710</v>
      </c>
      <c r="F15" s="59" t="str">
        <f t="shared" si="2"/>
        <v>0xCB</v>
      </c>
      <c r="G15" s="59" t="s">
        <v>710</v>
      </c>
      <c r="H15" s="59" t="s">
        <v>711</v>
      </c>
      <c r="I15" s="58">
        <v>12</v>
      </c>
      <c r="O15" s="63">
        <v>1</v>
      </c>
      <c r="P15" s="63">
        <v>0</v>
      </c>
      <c r="Q15" s="63">
        <v>0</v>
      </c>
      <c r="R15" s="63">
        <v>0</v>
      </c>
      <c r="S15" s="63">
        <v>1</v>
      </c>
      <c r="T15" s="63">
        <v>0</v>
      </c>
      <c r="U15" s="63">
        <v>1</v>
      </c>
      <c r="V15" s="63">
        <v>1</v>
      </c>
      <c r="W15" s="63" t="str">
        <f t="shared" si="3"/>
        <v>0B</v>
      </c>
      <c r="X15" s="63">
        <v>1</v>
      </c>
      <c r="Y15" s="63">
        <v>1</v>
      </c>
      <c r="Z15" s="63">
        <v>0</v>
      </c>
      <c r="AA15" s="63">
        <v>0</v>
      </c>
      <c r="AB15" s="63">
        <v>1</v>
      </c>
      <c r="AC15" s="63">
        <v>0</v>
      </c>
      <c r="AD15" s="63">
        <v>1</v>
      </c>
      <c r="AE15" s="63">
        <v>1</v>
      </c>
      <c r="AF15" s="63" t="str">
        <f t="shared" si="4"/>
        <v>0B</v>
      </c>
    </row>
    <row r="16" spans="2:32" ht="15" customHeight="1">
      <c r="B16" s="59" t="s">
        <v>708</v>
      </c>
      <c r="C16" s="59" t="str">
        <f t="shared" si="1"/>
        <v>0x8F</v>
      </c>
      <c r="D16" s="59" t="s">
        <v>710</v>
      </c>
      <c r="E16" s="59" t="s">
        <v>710</v>
      </c>
      <c r="F16" s="59" t="str">
        <f t="shared" si="2"/>
        <v>0xCF</v>
      </c>
      <c r="G16" s="59" t="s">
        <v>710</v>
      </c>
      <c r="H16" s="59" t="s">
        <v>711</v>
      </c>
      <c r="I16" s="58">
        <v>12</v>
      </c>
      <c r="O16" s="63">
        <v>1</v>
      </c>
      <c r="P16" s="63">
        <v>0</v>
      </c>
      <c r="Q16" s="63">
        <v>0</v>
      </c>
      <c r="R16" s="63">
        <v>0</v>
      </c>
      <c r="S16" s="63">
        <v>1</v>
      </c>
      <c r="T16" s="63">
        <v>1</v>
      </c>
      <c r="U16" s="63">
        <v>1</v>
      </c>
      <c r="V16" s="63">
        <v>1</v>
      </c>
      <c r="W16" s="63" t="str">
        <f t="shared" si="3"/>
        <v>0F</v>
      </c>
      <c r="X16" s="63">
        <v>1</v>
      </c>
      <c r="Y16" s="63">
        <v>1</v>
      </c>
      <c r="Z16" s="63">
        <v>0</v>
      </c>
      <c r="AA16" s="63">
        <v>0</v>
      </c>
      <c r="AB16" s="63">
        <v>1</v>
      </c>
      <c r="AC16" s="63">
        <v>1</v>
      </c>
      <c r="AD16" s="63">
        <v>1</v>
      </c>
      <c r="AE16" s="63">
        <v>1</v>
      </c>
      <c r="AF16" s="63" t="str">
        <f t="shared" si="4"/>
        <v>0F</v>
      </c>
    </row>
    <row r="17" spans="2:32" ht="15" customHeight="1">
      <c r="B17" s="59" t="s">
        <v>691</v>
      </c>
      <c r="C17" s="59" t="str">
        <f t="shared" si="1"/>
        <v>0x90</v>
      </c>
      <c r="D17" s="59" t="s">
        <v>710</v>
      </c>
      <c r="E17" s="59" t="s">
        <v>710</v>
      </c>
      <c r="F17" s="59" t="str">
        <f t="shared" si="2"/>
        <v>0xD0</v>
      </c>
      <c r="G17" s="59" t="s">
        <v>710</v>
      </c>
      <c r="H17" s="59" t="s">
        <v>711</v>
      </c>
      <c r="I17" s="58">
        <v>12</v>
      </c>
      <c r="O17" s="63">
        <v>1</v>
      </c>
      <c r="P17" s="63">
        <v>0</v>
      </c>
      <c r="Q17" s="63">
        <v>0</v>
      </c>
      <c r="R17" s="63">
        <v>1</v>
      </c>
      <c r="S17" s="63">
        <v>0</v>
      </c>
      <c r="T17" s="63">
        <v>0</v>
      </c>
      <c r="U17" s="63">
        <v>0</v>
      </c>
      <c r="V17" s="63">
        <v>0</v>
      </c>
      <c r="W17" s="63" t="str">
        <f t="shared" si="3"/>
        <v>10</v>
      </c>
      <c r="X17" s="63">
        <v>1</v>
      </c>
      <c r="Y17" s="63">
        <v>1</v>
      </c>
      <c r="Z17" s="63">
        <v>0</v>
      </c>
      <c r="AA17" s="63">
        <v>1</v>
      </c>
      <c r="AB17" s="63">
        <v>0</v>
      </c>
      <c r="AC17" s="63">
        <v>0</v>
      </c>
      <c r="AD17" s="63">
        <v>0</v>
      </c>
      <c r="AE17" s="63">
        <v>0</v>
      </c>
      <c r="AF17" s="63" t="str">
        <f t="shared" si="4"/>
        <v>10</v>
      </c>
    </row>
    <row r="18" spans="2:32" ht="15" customHeight="1">
      <c r="B18" s="59" t="s">
        <v>692</v>
      </c>
      <c r="C18" s="59" t="str">
        <f t="shared" si="1"/>
        <v>0x91</v>
      </c>
      <c r="D18" s="59" t="s">
        <v>710</v>
      </c>
      <c r="E18" s="59" t="s">
        <v>710</v>
      </c>
      <c r="F18" s="59" t="str">
        <f t="shared" si="2"/>
        <v>0xD1</v>
      </c>
      <c r="G18" s="59" t="s">
        <v>710</v>
      </c>
      <c r="H18" s="59" t="s">
        <v>711</v>
      </c>
      <c r="I18" s="58">
        <v>12</v>
      </c>
      <c r="O18" s="63">
        <v>1</v>
      </c>
      <c r="P18" s="63">
        <v>0</v>
      </c>
      <c r="Q18" s="63">
        <v>0</v>
      </c>
      <c r="R18" s="63">
        <v>1</v>
      </c>
      <c r="S18" s="63">
        <v>0</v>
      </c>
      <c r="T18" s="63">
        <v>0</v>
      </c>
      <c r="U18" s="63">
        <v>0</v>
      </c>
      <c r="V18" s="63">
        <v>1</v>
      </c>
      <c r="W18" s="63" t="str">
        <f t="shared" si="3"/>
        <v>11</v>
      </c>
      <c r="X18" s="63">
        <v>1</v>
      </c>
      <c r="Y18" s="63">
        <v>1</v>
      </c>
      <c r="Z18" s="63">
        <v>0</v>
      </c>
      <c r="AA18" s="63">
        <v>1</v>
      </c>
      <c r="AB18" s="63">
        <v>0</v>
      </c>
      <c r="AC18" s="63">
        <v>0</v>
      </c>
      <c r="AD18" s="63">
        <v>0</v>
      </c>
      <c r="AE18" s="63">
        <v>1</v>
      </c>
      <c r="AF18" s="63" t="str">
        <f t="shared" si="4"/>
        <v>11</v>
      </c>
    </row>
    <row r="19" spans="2:32" ht="15" customHeight="1">
      <c r="B19" s="59" t="s">
        <v>81</v>
      </c>
      <c r="C19" s="59" t="str">
        <f t="shared" si="1"/>
        <v>0x92</v>
      </c>
      <c r="D19" s="59" t="s">
        <v>710</v>
      </c>
      <c r="E19" s="59" t="s">
        <v>710</v>
      </c>
      <c r="F19" s="59" t="str">
        <f t="shared" si="2"/>
        <v>0xD2</v>
      </c>
      <c r="G19" s="59" t="s">
        <v>710</v>
      </c>
      <c r="H19" s="59" t="s">
        <v>711</v>
      </c>
      <c r="I19" s="58">
        <v>12</v>
      </c>
      <c r="O19" s="63">
        <v>1</v>
      </c>
      <c r="P19" s="63">
        <v>0</v>
      </c>
      <c r="Q19" s="63">
        <v>0</v>
      </c>
      <c r="R19" s="63">
        <v>1</v>
      </c>
      <c r="S19" s="63">
        <v>0</v>
      </c>
      <c r="T19" s="63">
        <v>0</v>
      </c>
      <c r="U19" s="63">
        <v>1</v>
      </c>
      <c r="V19" s="63">
        <v>0</v>
      </c>
      <c r="W19" s="63" t="str">
        <f t="shared" si="3"/>
        <v>12</v>
      </c>
      <c r="X19" s="63">
        <v>1</v>
      </c>
      <c r="Y19" s="63">
        <v>1</v>
      </c>
      <c r="Z19" s="63">
        <v>0</v>
      </c>
      <c r="AA19" s="63">
        <v>1</v>
      </c>
      <c r="AB19" s="63">
        <v>0</v>
      </c>
      <c r="AC19" s="63">
        <v>0</v>
      </c>
      <c r="AD19" s="63">
        <v>1</v>
      </c>
      <c r="AE19" s="63">
        <v>0</v>
      </c>
      <c r="AF19" s="63" t="str">
        <f t="shared" si="4"/>
        <v>12</v>
      </c>
    </row>
    <row r="20" spans="2:32" ht="15" customHeight="1">
      <c r="B20" s="59" t="s">
        <v>83</v>
      </c>
      <c r="C20" s="59" t="str">
        <f t="shared" si="1"/>
        <v>0x93</v>
      </c>
      <c r="D20" s="59" t="s">
        <v>710</v>
      </c>
      <c r="E20" s="59" t="s">
        <v>710</v>
      </c>
      <c r="F20" s="59" t="str">
        <f t="shared" si="2"/>
        <v>0xD3</v>
      </c>
      <c r="G20" s="59" t="s">
        <v>710</v>
      </c>
      <c r="H20" s="59" t="s">
        <v>711</v>
      </c>
      <c r="I20" s="58">
        <v>12</v>
      </c>
      <c r="O20" s="63">
        <v>1</v>
      </c>
      <c r="P20" s="63">
        <v>0</v>
      </c>
      <c r="Q20" s="63">
        <v>0</v>
      </c>
      <c r="R20" s="63">
        <v>1</v>
      </c>
      <c r="S20" s="63">
        <v>0</v>
      </c>
      <c r="T20" s="63">
        <v>0</v>
      </c>
      <c r="U20" s="63">
        <v>1</v>
      </c>
      <c r="V20" s="63">
        <v>1</v>
      </c>
      <c r="W20" s="63" t="str">
        <f t="shared" si="3"/>
        <v>13</v>
      </c>
      <c r="X20" s="63">
        <v>1</v>
      </c>
      <c r="Y20" s="63">
        <v>1</v>
      </c>
      <c r="Z20" s="63">
        <v>0</v>
      </c>
      <c r="AA20" s="63">
        <v>1</v>
      </c>
      <c r="AB20" s="63">
        <v>0</v>
      </c>
      <c r="AC20" s="63">
        <v>0</v>
      </c>
      <c r="AD20" s="63">
        <v>1</v>
      </c>
      <c r="AE20" s="63">
        <v>1</v>
      </c>
      <c r="AF20" s="63" t="str">
        <f t="shared" si="4"/>
        <v>13</v>
      </c>
    </row>
    <row r="21" spans="2:32" ht="15" customHeight="1">
      <c r="B21" s="59" t="s">
        <v>85</v>
      </c>
      <c r="C21" s="59" t="str">
        <f t="shared" si="1"/>
        <v>0x94</v>
      </c>
      <c r="D21" s="59" t="s">
        <v>710</v>
      </c>
      <c r="E21" s="59" t="s">
        <v>710</v>
      </c>
      <c r="F21" s="59" t="str">
        <f t="shared" si="2"/>
        <v>0xD4</v>
      </c>
      <c r="G21" s="59" t="s">
        <v>710</v>
      </c>
      <c r="H21" s="59" t="s">
        <v>711</v>
      </c>
      <c r="I21" s="58">
        <v>12</v>
      </c>
      <c r="O21" s="63">
        <v>1</v>
      </c>
      <c r="P21" s="63">
        <v>0</v>
      </c>
      <c r="Q21" s="63">
        <v>0</v>
      </c>
      <c r="R21" s="63">
        <v>1</v>
      </c>
      <c r="S21" s="63">
        <v>0</v>
      </c>
      <c r="T21" s="63">
        <v>1</v>
      </c>
      <c r="U21" s="63">
        <v>0</v>
      </c>
      <c r="V21" s="63">
        <v>0</v>
      </c>
      <c r="W21" s="63" t="str">
        <f t="shared" si="3"/>
        <v>14</v>
      </c>
      <c r="X21" s="63">
        <v>1</v>
      </c>
      <c r="Y21" s="63">
        <v>1</v>
      </c>
      <c r="Z21" s="63">
        <v>0</v>
      </c>
      <c r="AA21" s="63">
        <v>1</v>
      </c>
      <c r="AB21" s="63">
        <v>0</v>
      </c>
      <c r="AC21" s="63">
        <v>1</v>
      </c>
      <c r="AD21" s="63">
        <v>0</v>
      </c>
      <c r="AE21" s="63">
        <v>0</v>
      </c>
      <c r="AF21" s="63" t="str">
        <f t="shared" si="4"/>
        <v>14</v>
      </c>
    </row>
    <row r="22" spans="2:32" ht="15" customHeight="1">
      <c r="B22" s="59" t="s">
        <v>87</v>
      </c>
      <c r="C22" s="59" t="str">
        <f t="shared" si="1"/>
        <v>0x95</v>
      </c>
      <c r="D22" s="59" t="s">
        <v>710</v>
      </c>
      <c r="E22" s="59" t="s">
        <v>710</v>
      </c>
      <c r="F22" s="59" t="str">
        <f t="shared" si="2"/>
        <v>0xD5</v>
      </c>
      <c r="G22" s="59" t="s">
        <v>710</v>
      </c>
      <c r="H22" s="59" t="s">
        <v>711</v>
      </c>
      <c r="I22" s="58">
        <v>12</v>
      </c>
      <c r="O22" s="63">
        <v>1</v>
      </c>
      <c r="P22" s="63">
        <v>0</v>
      </c>
      <c r="Q22" s="63">
        <v>0</v>
      </c>
      <c r="R22" s="63">
        <v>1</v>
      </c>
      <c r="S22" s="63">
        <v>0</v>
      </c>
      <c r="T22" s="63">
        <v>1</v>
      </c>
      <c r="U22" s="63">
        <v>0</v>
      </c>
      <c r="V22" s="63">
        <v>1</v>
      </c>
      <c r="W22" s="63" t="str">
        <f t="shared" si="3"/>
        <v>15</v>
      </c>
      <c r="X22" s="63">
        <v>1</v>
      </c>
      <c r="Y22" s="63">
        <v>1</v>
      </c>
      <c r="Z22" s="63">
        <v>0</v>
      </c>
      <c r="AA22" s="63">
        <v>1</v>
      </c>
      <c r="AB22" s="63">
        <v>0</v>
      </c>
      <c r="AC22" s="63">
        <v>1</v>
      </c>
      <c r="AD22" s="63">
        <v>0</v>
      </c>
      <c r="AE22" s="63">
        <v>1</v>
      </c>
      <c r="AF22" s="63" t="str">
        <f t="shared" si="4"/>
        <v>15</v>
      </c>
    </row>
    <row r="23" spans="2:32" ht="15" customHeight="1">
      <c r="B23" s="59" t="s">
        <v>89</v>
      </c>
      <c r="C23" s="59" t="str">
        <f t="shared" si="1"/>
        <v>0x96</v>
      </c>
      <c r="D23" s="59" t="s">
        <v>710</v>
      </c>
      <c r="E23" s="59" t="s">
        <v>710</v>
      </c>
      <c r="F23" s="59" t="str">
        <f t="shared" si="2"/>
        <v>0xD6</v>
      </c>
      <c r="G23" s="59" t="s">
        <v>710</v>
      </c>
      <c r="H23" s="59" t="s">
        <v>711</v>
      </c>
      <c r="I23" s="58">
        <v>12</v>
      </c>
      <c r="O23" s="63">
        <v>1</v>
      </c>
      <c r="P23" s="63">
        <v>0</v>
      </c>
      <c r="Q23" s="63">
        <v>0</v>
      </c>
      <c r="R23" s="63">
        <v>1</v>
      </c>
      <c r="S23" s="63">
        <v>0</v>
      </c>
      <c r="T23" s="63">
        <v>1</v>
      </c>
      <c r="U23" s="63">
        <v>1</v>
      </c>
      <c r="V23" s="63">
        <v>0</v>
      </c>
      <c r="W23" s="63" t="str">
        <f t="shared" si="3"/>
        <v>16</v>
      </c>
      <c r="X23" s="63">
        <v>1</v>
      </c>
      <c r="Y23" s="63">
        <v>1</v>
      </c>
      <c r="Z23" s="63">
        <v>0</v>
      </c>
      <c r="AA23" s="63">
        <v>1</v>
      </c>
      <c r="AB23" s="63">
        <v>0</v>
      </c>
      <c r="AC23" s="63">
        <v>1</v>
      </c>
      <c r="AD23" s="63">
        <v>1</v>
      </c>
      <c r="AE23" s="63">
        <v>0</v>
      </c>
      <c r="AF23" s="63" t="str">
        <f t="shared" si="4"/>
        <v>16</v>
      </c>
    </row>
    <row r="24" spans="2:32" ht="15" customHeight="1">
      <c r="B24" s="59" t="s">
        <v>91</v>
      </c>
      <c r="C24" s="59" t="str">
        <f t="shared" si="1"/>
        <v>0x97</v>
      </c>
      <c r="D24" s="59" t="s">
        <v>710</v>
      </c>
      <c r="E24" s="59" t="s">
        <v>710</v>
      </c>
      <c r="F24" s="59" t="str">
        <f t="shared" si="2"/>
        <v>0xD7</v>
      </c>
      <c r="G24" s="59" t="s">
        <v>710</v>
      </c>
      <c r="H24" s="59" t="s">
        <v>711</v>
      </c>
      <c r="I24" s="58">
        <v>12</v>
      </c>
      <c r="O24" s="63">
        <v>1</v>
      </c>
      <c r="P24" s="63">
        <v>0</v>
      </c>
      <c r="Q24" s="63">
        <v>0</v>
      </c>
      <c r="R24" s="63">
        <v>1</v>
      </c>
      <c r="S24" s="63">
        <v>0</v>
      </c>
      <c r="T24" s="63">
        <v>1</v>
      </c>
      <c r="U24" s="63">
        <v>1</v>
      </c>
      <c r="V24" s="63">
        <v>1</v>
      </c>
      <c r="W24" s="63" t="str">
        <f t="shared" si="3"/>
        <v>17</v>
      </c>
      <c r="X24" s="63">
        <v>1</v>
      </c>
      <c r="Y24" s="63">
        <v>1</v>
      </c>
      <c r="Z24" s="63">
        <v>0</v>
      </c>
      <c r="AA24" s="63">
        <v>1</v>
      </c>
      <c r="AB24" s="63">
        <v>0</v>
      </c>
      <c r="AC24" s="63">
        <v>1</v>
      </c>
      <c r="AD24" s="63">
        <v>1</v>
      </c>
      <c r="AE24" s="63">
        <v>1</v>
      </c>
      <c r="AF24" s="63" t="str">
        <f t="shared" si="4"/>
        <v>17</v>
      </c>
    </row>
    <row r="25" spans="2:32" ht="15" customHeight="1">
      <c r="B25" s="59" t="s">
        <v>93</v>
      </c>
      <c r="C25" s="59" t="str">
        <f t="shared" si="1"/>
        <v>0x98</v>
      </c>
      <c r="D25" s="59" t="s">
        <v>712</v>
      </c>
      <c r="E25" s="59" t="s">
        <v>710</v>
      </c>
      <c r="F25" s="59" t="str">
        <f t="shared" si="2"/>
        <v>0xD8</v>
      </c>
      <c r="G25" s="59" t="s">
        <v>710</v>
      </c>
      <c r="H25" s="59" t="s">
        <v>711</v>
      </c>
      <c r="I25" s="58">
        <v>12</v>
      </c>
      <c r="O25" s="63">
        <v>1</v>
      </c>
      <c r="P25" s="63">
        <v>0</v>
      </c>
      <c r="Q25" s="63">
        <v>0</v>
      </c>
      <c r="R25" s="63">
        <v>1</v>
      </c>
      <c r="S25" s="63">
        <v>1</v>
      </c>
      <c r="T25" s="63">
        <v>0</v>
      </c>
      <c r="U25" s="63">
        <v>0</v>
      </c>
      <c r="V25" s="63">
        <v>0</v>
      </c>
      <c r="W25" s="63" t="str">
        <f t="shared" si="3"/>
        <v>18</v>
      </c>
      <c r="X25" s="63">
        <v>1</v>
      </c>
      <c r="Y25" s="63">
        <v>1</v>
      </c>
      <c r="Z25" s="63">
        <v>0</v>
      </c>
      <c r="AA25" s="63">
        <v>1</v>
      </c>
      <c r="AB25" s="63">
        <v>1</v>
      </c>
      <c r="AC25" s="63">
        <v>0</v>
      </c>
      <c r="AD25" s="63">
        <v>0</v>
      </c>
      <c r="AE25" s="63">
        <v>0</v>
      </c>
      <c r="AF25" s="63" t="str">
        <f t="shared" si="4"/>
        <v>18</v>
      </c>
    </row>
    <row r="26" spans="2:32" ht="15" customHeight="1">
      <c r="B26" s="59" t="s">
        <v>95</v>
      </c>
      <c r="C26" s="59" t="str">
        <f t="shared" si="1"/>
        <v>0x99</v>
      </c>
      <c r="D26" s="59" t="s">
        <v>712</v>
      </c>
      <c r="E26" s="59" t="s">
        <v>710</v>
      </c>
      <c r="F26" s="59" t="str">
        <f t="shared" si="2"/>
        <v>0xD9</v>
      </c>
      <c r="G26" s="59" t="s">
        <v>710</v>
      </c>
      <c r="H26" s="59" t="s">
        <v>711</v>
      </c>
      <c r="I26" s="58">
        <v>12</v>
      </c>
      <c r="O26" s="63">
        <v>1</v>
      </c>
      <c r="P26" s="63">
        <v>0</v>
      </c>
      <c r="Q26" s="63">
        <v>0</v>
      </c>
      <c r="R26" s="63">
        <v>1</v>
      </c>
      <c r="S26" s="63">
        <v>1</v>
      </c>
      <c r="T26" s="63">
        <v>0</v>
      </c>
      <c r="U26" s="63">
        <v>0</v>
      </c>
      <c r="V26" s="63">
        <v>1</v>
      </c>
      <c r="W26" s="63" t="str">
        <f t="shared" si="3"/>
        <v>19</v>
      </c>
      <c r="X26" s="63">
        <v>1</v>
      </c>
      <c r="Y26" s="63">
        <v>1</v>
      </c>
      <c r="Z26" s="63">
        <v>0</v>
      </c>
      <c r="AA26" s="63">
        <v>1</v>
      </c>
      <c r="AB26" s="63">
        <v>1</v>
      </c>
      <c r="AC26" s="63">
        <v>0</v>
      </c>
      <c r="AD26" s="63">
        <v>0</v>
      </c>
      <c r="AE26" s="63">
        <v>1</v>
      </c>
      <c r="AF26" s="63" t="str">
        <f t="shared" si="4"/>
        <v>19</v>
      </c>
    </row>
    <row r="27" spans="2:32" ht="15" customHeight="1">
      <c r="B27" s="59" t="s">
        <v>765</v>
      </c>
      <c r="C27" s="59" t="str">
        <f>_xlfn.CONCAT("0x",BIN2HEX(_xlfn.CONCAT(O27,P27,Q27,R27,S27,T27,U27,V27,),2))</f>
        <v>0x9A</v>
      </c>
      <c r="D27" s="59" t="s">
        <v>712</v>
      </c>
      <c r="E27" s="59" t="s">
        <v>710</v>
      </c>
      <c r="F27" s="59" t="str">
        <f>_xlfn.CONCAT("0x",BIN2HEX(_xlfn.CONCAT(X27,Y27,Z27,AA27,AB27,AC27,AD27,AE27),2))</f>
        <v>0xDA</v>
      </c>
      <c r="G27" s="59" t="s">
        <v>710</v>
      </c>
      <c r="H27" s="59" t="s">
        <v>711</v>
      </c>
      <c r="I27" s="58">
        <v>12</v>
      </c>
      <c r="O27" s="63">
        <v>1</v>
      </c>
      <c r="P27" s="63">
        <v>0</v>
      </c>
      <c r="Q27" s="63">
        <v>0</v>
      </c>
      <c r="R27" s="63">
        <v>1</v>
      </c>
      <c r="S27" s="63">
        <v>1</v>
      </c>
      <c r="T27" s="63">
        <v>0</v>
      </c>
      <c r="U27" s="63">
        <v>1</v>
      </c>
      <c r="V27" s="63">
        <v>0</v>
      </c>
      <c r="W27" s="63" t="str">
        <f>BIN2HEX(_xlfn.CONCAT(Q27,R27,S27,T27,U27,V27),2)</f>
        <v>1A</v>
      </c>
      <c r="X27" s="63">
        <v>1</v>
      </c>
      <c r="Y27" s="63">
        <v>1</v>
      </c>
      <c r="Z27" s="63">
        <v>0</v>
      </c>
      <c r="AA27" s="63">
        <v>1</v>
      </c>
      <c r="AB27" s="63">
        <v>1</v>
      </c>
      <c r="AC27" s="63">
        <v>0</v>
      </c>
      <c r="AD27" s="63">
        <v>1</v>
      </c>
      <c r="AE27" s="63">
        <v>0</v>
      </c>
      <c r="AF27" s="63" t="str">
        <f>BIN2HEX(_xlfn.CONCAT(Z27,AA27,AB27,AC27,AD27,AE27),2)</f>
        <v>1A</v>
      </c>
    </row>
    <row r="28" spans="2:32" ht="15" customHeight="1">
      <c r="B28" s="59" t="s">
        <v>693</v>
      </c>
      <c r="C28" s="59" t="str">
        <f t="shared" si="1"/>
        <v>0x41</v>
      </c>
      <c r="D28" s="59" t="s">
        <v>710</v>
      </c>
      <c r="E28" s="59" t="s">
        <v>711</v>
      </c>
      <c r="F28" s="65"/>
      <c r="G28" s="66" t="s">
        <v>11</v>
      </c>
      <c r="H28" s="66" t="s">
        <v>11</v>
      </c>
      <c r="I28" s="58">
        <v>12</v>
      </c>
      <c r="O28" s="63">
        <v>0</v>
      </c>
      <c r="P28" s="63">
        <v>1</v>
      </c>
      <c r="Q28" s="63">
        <v>0</v>
      </c>
      <c r="R28" s="63">
        <v>0</v>
      </c>
      <c r="S28" s="63">
        <v>0</v>
      </c>
      <c r="T28" s="63">
        <v>0</v>
      </c>
      <c r="U28" s="63">
        <v>0</v>
      </c>
      <c r="V28" s="63">
        <v>1</v>
      </c>
      <c r="W28" s="63" t="str">
        <f t="shared" si="3"/>
        <v>01</v>
      </c>
    </row>
    <row r="29" spans="2:32" ht="15" customHeight="1">
      <c r="B29" s="59" t="s">
        <v>694</v>
      </c>
      <c r="C29" s="59" t="str">
        <f t="shared" si="1"/>
        <v>0x42</v>
      </c>
      <c r="D29" s="59" t="s">
        <v>710</v>
      </c>
      <c r="E29" s="59" t="s">
        <v>711</v>
      </c>
      <c r="F29" s="65"/>
      <c r="G29" s="66" t="s">
        <v>11</v>
      </c>
      <c r="H29" s="66" t="s">
        <v>11</v>
      </c>
      <c r="I29" s="58">
        <v>12</v>
      </c>
      <c r="O29" s="63">
        <v>0</v>
      </c>
      <c r="P29" s="63">
        <v>1</v>
      </c>
      <c r="Q29" s="63">
        <v>0</v>
      </c>
      <c r="R29" s="63">
        <v>0</v>
      </c>
      <c r="S29" s="63">
        <v>0</v>
      </c>
      <c r="T29" s="63">
        <v>0</v>
      </c>
      <c r="U29" s="63">
        <v>1</v>
      </c>
      <c r="V29" s="63">
        <v>0</v>
      </c>
      <c r="W29" s="63" t="str">
        <f t="shared" si="3"/>
        <v>02</v>
      </c>
    </row>
    <row r="30" spans="2:32" ht="15" customHeight="1">
      <c r="B30" s="59" t="s">
        <v>695</v>
      </c>
      <c r="C30" s="59" t="str">
        <f t="shared" si="1"/>
        <v>0x43</v>
      </c>
      <c r="D30" s="59" t="s">
        <v>710</v>
      </c>
      <c r="E30" s="59" t="s">
        <v>711</v>
      </c>
      <c r="F30" s="65"/>
      <c r="G30" s="66" t="s">
        <v>11</v>
      </c>
      <c r="H30" s="66" t="s">
        <v>11</v>
      </c>
      <c r="I30" s="58">
        <v>12</v>
      </c>
      <c r="O30" s="63">
        <v>0</v>
      </c>
      <c r="P30" s="63">
        <v>1</v>
      </c>
      <c r="Q30" s="63">
        <v>0</v>
      </c>
      <c r="R30" s="63">
        <v>0</v>
      </c>
      <c r="S30" s="63">
        <v>0</v>
      </c>
      <c r="T30" s="63">
        <v>0</v>
      </c>
      <c r="U30" s="63">
        <v>1</v>
      </c>
      <c r="V30" s="63">
        <v>1</v>
      </c>
      <c r="W30" s="63" t="str">
        <f t="shared" si="3"/>
        <v>03</v>
      </c>
    </row>
    <row r="31" spans="2:32" ht="15" customHeight="1">
      <c r="B31" s="59" t="s">
        <v>696</v>
      </c>
      <c r="C31" s="59" t="str">
        <f t="shared" si="1"/>
        <v>0x44</v>
      </c>
      <c r="D31" s="59" t="s">
        <v>710</v>
      </c>
      <c r="E31" s="59" t="s">
        <v>711</v>
      </c>
      <c r="F31" s="65"/>
      <c r="G31" s="66" t="s">
        <v>11</v>
      </c>
      <c r="H31" s="66" t="s">
        <v>11</v>
      </c>
      <c r="I31" s="58">
        <v>24</v>
      </c>
      <c r="O31" s="63">
        <v>0</v>
      </c>
      <c r="P31" s="63">
        <v>1</v>
      </c>
      <c r="Q31" s="63">
        <v>0</v>
      </c>
      <c r="R31" s="63">
        <v>0</v>
      </c>
      <c r="S31" s="63">
        <v>0</v>
      </c>
      <c r="T31" s="63">
        <v>1</v>
      </c>
      <c r="U31" s="63">
        <v>0</v>
      </c>
      <c r="V31" s="63">
        <v>0</v>
      </c>
      <c r="W31" s="63" t="str">
        <f t="shared" si="3"/>
        <v>04</v>
      </c>
    </row>
    <row r="32" spans="2:32" ht="15" customHeight="1">
      <c r="B32" s="59" t="s">
        <v>697</v>
      </c>
      <c r="C32" s="59" t="str">
        <f t="shared" si="1"/>
        <v>0x45</v>
      </c>
      <c r="D32" s="59" t="s">
        <v>710</v>
      </c>
      <c r="E32" s="59" t="s">
        <v>711</v>
      </c>
      <c r="F32" s="65"/>
      <c r="G32" s="66" t="s">
        <v>11</v>
      </c>
      <c r="H32" s="66" t="s">
        <v>11</v>
      </c>
      <c r="I32" s="58">
        <v>12</v>
      </c>
      <c r="O32" s="63">
        <v>0</v>
      </c>
      <c r="P32" s="63">
        <v>1</v>
      </c>
      <c r="Q32" s="63">
        <v>0</v>
      </c>
      <c r="R32" s="63">
        <v>0</v>
      </c>
      <c r="S32" s="63">
        <v>0</v>
      </c>
      <c r="T32" s="63">
        <v>1</v>
      </c>
      <c r="U32" s="63">
        <v>0</v>
      </c>
      <c r="V32" s="63">
        <v>1</v>
      </c>
      <c r="W32" s="63" t="str">
        <f t="shared" si="3"/>
        <v>05</v>
      </c>
    </row>
    <row r="33" spans="2:23" ht="15" customHeight="1">
      <c r="B33" s="59" t="s">
        <v>698</v>
      </c>
      <c r="C33" s="59" t="str">
        <f t="shared" si="1"/>
        <v>0x46</v>
      </c>
      <c r="D33" s="59" t="s">
        <v>710</v>
      </c>
      <c r="E33" s="59" t="s">
        <v>711</v>
      </c>
      <c r="F33" s="65"/>
      <c r="G33" s="66" t="s">
        <v>11</v>
      </c>
      <c r="H33" s="66" t="s">
        <v>11</v>
      </c>
      <c r="I33" s="58">
        <v>12</v>
      </c>
      <c r="O33" s="63">
        <v>0</v>
      </c>
      <c r="P33" s="63">
        <v>1</v>
      </c>
      <c r="Q33" s="63">
        <v>0</v>
      </c>
      <c r="R33" s="63">
        <v>0</v>
      </c>
      <c r="S33" s="63">
        <v>0</v>
      </c>
      <c r="T33" s="63">
        <v>1</v>
      </c>
      <c r="U33" s="63">
        <v>1</v>
      </c>
      <c r="V33" s="63">
        <v>0</v>
      </c>
      <c r="W33" s="63" t="str">
        <f t="shared" si="3"/>
        <v>06</v>
      </c>
    </row>
    <row r="34" spans="2:23" ht="15" customHeight="1">
      <c r="B34" s="59" t="s">
        <v>699</v>
      </c>
      <c r="C34" s="59" t="str">
        <f t="shared" si="1"/>
        <v>0x47</v>
      </c>
      <c r="D34" s="59" t="s">
        <v>710</v>
      </c>
      <c r="E34" s="59" t="s">
        <v>711</v>
      </c>
      <c r="F34" s="65"/>
      <c r="G34" s="66" t="s">
        <v>11</v>
      </c>
      <c r="H34" s="66" t="s">
        <v>11</v>
      </c>
      <c r="I34" s="58">
        <v>12</v>
      </c>
      <c r="O34" s="63">
        <v>0</v>
      </c>
      <c r="P34" s="63">
        <v>1</v>
      </c>
      <c r="Q34" s="63">
        <v>0</v>
      </c>
      <c r="R34" s="63">
        <v>0</v>
      </c>
      <c r="S34" s="63">
        <v>0</v>
      </c>
      <c r="T34" s="63">
        <v>1</v>
      </c>
      <c r="U34" s="63">
        <v>1</v>
      </c>
      <c r="V34" s="63">
        <v>1</v>
      </c>
      <c r="W34" s="63" t="str">
        <f t="shared" si="3"/>
        <v>07</v>
      </c>
    </row>
    <row r="35" spans="2:23" ht="15" customHeight="1">
      <c r="B35" s="59" t="s">
        <v>700</v>
      </c>
      <c r="C35" s="59" t="str">
        <f t="shared" si="1"/>
        <v>0x48</v>
      </c>
      <c r="D35" s="59" t="s">
        <v>710</v>
      </c>
      <c r="E35" s="59" t="s">
        <v>711</v>
      </c>
      <c r="F35" s="65"/>
      <c r="G35" s="66" t="s">
        <v>11</v>
      </c>
      <c r="H35" s="66" t="s">
        <v>11</v>
      </c>
      <c r="I35" s="58">
        <v>24</v>
      </c>
      <c r="O35" s="63">
        <v>0</v>
      </c>
      <c r="P35" s="63">
        <v>1</v>
      </c>
      <c r="Q35" s="63">
        <v>0</v>
      </c>
      <c r="R35" s="63">
        <v>0</v>
      </c>
      <c r="S35" s="63">
        <v>1</v>
      </c>
      <c r="T35" s="63">
        <v>0</v>
      </c>
      <c r="U35" s="63">
        <v>0</v>
      </c>
      <c r="V35" s="63">
        <v>0</v>
      </c>
      <c r="W35" s="63" t="str">
        <f t="shared" si="3"/>
        <v>08</v>
      </c>
    </row>
    <row r="36" spans="2:23" ht="15" customHeight="1">
      <c r="B36" s="59" t="s">
        <v>701</v>
      </c>
      <c r="C36" s="59" t="str">
        <f t="shared" si="1"/>
        <v>0x60</v>
      </c>
      <c r="D36" s="59" t="s">
        <v>710</v>
      </c>
      <c r="E36" s="59" t="s">
        <v>711</v>
      </c>
      <c r="F36" s="65"/>
      <c r="G36" s="66" t="s">
        <v>11</v>
      </c>
      <c r="H36" s="66" t="s">
        <v>11</v>
      </c>
      <c r="I36" s="58">
        <v>24</v>
      </c>
      <c r="O36" s="63">
        <v>0</v>
      </c>
      <c r="P36" s="63">
        <v>1</v>
      </c>
      <c r="Q36" s="63">
        <v>1</v>
      </c>
      <c r="R36" s="63">
        <v>0</v>
      </c>
      <c r="S36" s="63">
        <v>0</v>
      </c>
      <c r="T36" s="63">
        <v>0</v>
      </c>
      <c r="U36" s="63">
        <v>0</v>
      </c>
      <c r="V36" s="63">
        <v>0</v>
      </c>
      <c r="W36" s="63" t="str">
        <f t="shared" si="3"/>
        <v>20</v>
      </c>
    </row>
    <row r="37" spans="2:23" ht="15" customHeight="1">
      <c r="B37" s="59" t="s">
        <v>702</v>
      </c>
      <c r="C37" s="59" t="str">
        <f t="shared" si="1"/>
        <v>0x4A</v>
      </c>
      <c r="D37" s="59" t="s">
        <v>710</v>
      </c>
      <c r="E37" s="59" t="s">
        <v>711</v>
      </c>
      <c r="F37" s="65"/>
      <c r="G37" s="66" t="s">
        <v>11</v>
      </c>
      <c r="H37" s="66" t="s">
        <v>11</v>
      </c>
      <c r="I37" s="58">
        <v>12</v>
      </c>
      <c r="O37" s="63">
        <v>0</v>
      </c>
      <c r="P37" s="63">
        <v>1</v>
      </c>
      <c r="Q37" s="63">
        <v>0</v>
      </c>
      <c r="R37" s="63">
        <v>0</v>
      </c>
      <c r="S37" s="63">
        <v>1</v>
      </c>
      <c r="T37" s="63">
        <v>0</v>
      </c>
      <c r="U37" s="63">
        <v>1</v>
      </c>
      <c r="V37" s="63">
        <v>0</v>
      </c>
      <c r="W37" s="63" t="str">
        <f t="shared" si="3"/>
        <v>0A</v>
      </c>
    </row>
    <row r="38" spans="2:23" ht="15" customHeight="1">
      <c r="B38" s="59" t="s">
        <v>703</v>
      </c>
      <c r="C38" s="59" t="str">
        <f t="shared" si="1"/>
        <v>0x4B</v>
      </c>
      <c r="D38" s="59" t="s">
        <v>710</v>
      </c>
      <c r="E38" s="59" t="s">
        <v>711</v>
      </c>
      <c r="F38" s="65"/>
      <c r="G38" s="66" t="s">
        <v>11</v>
      </c>
      <c r="H38" s="66" t="s">
        <v>11</v>
      </c>
      <c r="I38" s="58">
        <v>12</v>
      </c>
      <c r="O38" s="63">
        <v>0</v>
      </c>
      <c r="P38" s="63">
        <v>1</v>
      </c>
      <c r="Q38" s="63">
        <v>0</v>
      </c>
      <c r="R38" s="63">
        <v>0</v>
      </c>
      <c r="S38" s="63">
        <v>1</v>
      </c>
      <c r="T38" s="63">
        <v>0</v>
      </c>
      <c r="U38" s="63">
        <v>1</v>
      </c>
      <c r="V38" s="63">
        <v>1</v>
      </c>
      <c r="W38" s="63" t="str">
        <f t="shared" si="3"/>
        <v>0B</v>
      </c>
    </row>
    <row r="39" spans="2:23" ht="15" customHeight="1">
      <c r="B39" s="59" t="s">
        <v>704</v>
      </c>
      <c r="C39" s="59" t="str">
        <f t="shared" si="1"/>
        <v>0x4C</v>
      </c>
      <c r="D39" s="59" t="s">
        <v>710</v>
      </c>
      <c r="E39" s="59" t="s">
        <v>711</v>
      </c>
      <c r="F39" s="65"/>
      <c r="G39" s="66" t="s">
        <v>11</v>
      </c>
      <c r="H39" s="66" t="s">
        <v>11</v>
      </c>
      <c r="I39" s="58">
        <v>12</v>
      </c>
      <c r="O39" s="63">
        <v>0</v>
      </c>
      <c r="P39" s="63">
        <v>1</v>
      </c>
      <c r="Q39" s="63">
        <v>0</v>
      </c>
      <c r="R39" s="63">
        <v>0</v>
      </c>
      <c r="S39" s="63">
        <v>1</v>
      </c>
      <c r="T39" s="63">
        <v>1</v>
      </c>
      <c r="U39" s="63">
        <v>0</v>
      </c>
      <c r="V39" s="63">
        <v>0</v>
      </c>
      <c r="W39" s="63" t="str">
        <f t="shared" si="3"/>
        <v>0C</v>
      </c>
    </row>
    <row r="40" spans="2:23" ht="15" customHeight="1">
      <c r="B40" s="59" t="s">
        <v>705</v>
      </c>
      <c r="C40" s="59" t="str">
        <f t="shared" si="1"/>
        <v>0x4D</v>
      </c>
      <c r="D40" s="59" t="s">
        <v>710</v>
      </c>
      <c r="E40" s="59" t="s">
        <v>711</v>
      </c>
      <c r="F40" s="65"/>
      <c r="G40" s="66" t="s">
        <v>11</v>
      </c>
      <c r="H40" s="66" t="s">
        <v>11</v>
      </c>
      <c r="I40" s="58">
        <v>12</v>
      </c>
      <c r="O40" s="63">
        <v>0</v>
      </c>
      <c r="P40" s="63">
        <v>1</v>
      </c>
      <c r="Q40" s="63">
        <v>0</v>
      </c>
      <c r="R40" s="63">
        <v>0</v>
      </c>
      <c r="S40" s="63">
        <v>1</v>
      </c>
      <c r="T40" s="63">
        <v>1</v>
      </c>
      <c r="U40" s="63">
        <v>0</v>
      </c>
      <c r="V40" s="63">
        <v>1</v>
      </c>
      <c r="W40" s="63" t="str">
        <f t="shared" si="3"/>
        <v>0D</v>
      </c>
    </row>
    <row r="41" spans="2:23" ht="15" customHeight="1">
      <c r="B41" s="59" t="s">
        <v>706</v>
      </c>
      <c r="C41" s="59" t="str">
        <f t="shared" si="1"/>
        <v>0x4E</v>
      </c>
      <c r="D41" s="59" t="s">
        <v>710</v>
      </c>
      <c r="E41" s="59" t="s">
        <v>711</v>
      </c>
      <c r="F41" s="65"/>
      <c r="G41" s="66" t="s">
        <v>11</v>
      </c>
      <c r="H41" s="66" t="s">
        <v>11</v>
      </c>
      <c r="I41" s="58">
        <v>12</v>
      </c>
      <c r="O41" s="63">
        <v>0</v>
      </c>
      <c r="P41" s="63">
        <v>1</v>
      </c>
      <c r="Q41" s="63">
        <v>0</v>
      </c>
      <c r="R41" s="63">
        <v>0</v>
      </c>
      <c r="S41" s="63">
        <v>1</v>
      </c>
      <c r="T41" s="63">
        <v>1</v>
      </c>
      <c r="U41" s="63">
        <v>1</v>
      </c>
      <c r="V41" s="63">
        <v>0</v>
      </c>
      <c r="W41" s="63" t="str">
        <f t="shared" si="3"/>
        <v>0E</v>
      </c>
    </row>
    <row r="42" spans="2:23" ht="15" customHeight="1">
      <c r="B42" s="59" t="s">
        <v>709</v>
      </c>
      <c r="C42" s="59" t="str">
        <f t="shared" si="1"/>
        <v>0x4F</v>
      </c>
      <c r="D42" s="59" t="s">
        <v>710</v>
      </c>
      <c r="E42" s="59" t="s">
        <v>711</v>
      </c>
      <c r="F42" s="65"/>
      <c r="G42" s="66" t="s">
        <v>11</v>
      </c>
      <c r="H42" s="66" t="s">
        <v>11</v>
      </c>
      <c r="I42" s="58">
        <v>12</v>
      </c>
      <c r="O42" s="63">
        <v>0</v>
      </c>
      <c r="P42" s="63">
        <v>1</v>
      </c>
      <c r="Q42" s="63">
        <v>0</v>
      </c>
      <c r="R42" s="63">
        <v>0</v>
      </c>
      <c r="S42" s="63">
        <v>1</v>
      </c>
      <c r="T42" s="63">
        <v>1</v>
      </c>
      <c r="U42" s="63">
        <v>1</v>
      </c>
      <c r="V42" s="63">
        <v>1</v>
      </c>
      <c r="W42" s="63" t="str">
        <f t="shared" si="3"/>
        <v>0F</v>
      </c>
    </row>
    <row r="43" spans="2:23" ht="15" customHeight="1">
      <c r="B43" s="59" t="s">
        <v>707</v>
      </c>
      <c r="C43" s="59" t="str">
        <f t="shared" si="1"/>
        <v>0x50</v>
      </c>
      <c r="D43" s="59" t="s">
        <v>710</v>
      </c>
      <c r="E43" s="59" t="s">
        <v>711</v>
      </c>
      <c r="F43" s="65"/>
      <c r="G43" s="66" t="s">
        <v>11</v>
      </c>
      <c r="H43" s="66" t="s">
        <v>11</v>
      </c>
      <c r="I43" s="58">
        <v>12</v>
      </c>
      <c r="O43" s="63">
        <v>0</v>
      </c>
      <c r="P43" s="63">
        <v>1</v>
      </c>
      <c r="Q43" s="63">
        <v>0</v>
      </c>
      <c r="R43" s="63">
        <v>1</v>
      </c>
      <c r="S43" s="63">
        <v>0</v>
      </c>
      <c r="T43" s="63">
        <v>0</v>
      </c>
      <c r="U43" s="63">
        <v>0</v>
      </c>
      <c r="V43" s="63">
        <v>0</v>
      </c>
      <c r="W43" s="63" t="str">
        <f t="shared" si="3"/>
        <v>10</v>
      </c>
    </row>
    <row r="44" spans="2:23" ht="15" customHeight="1">
      <c r="B44" s="59" t="s">
        <v>216</v>
      </c>
      <c r="C44" s="59" t="str">
        <f t="shared" si="1"/>
        <v>0x51</v>
      </c>
      <c r="D44" s="59" t="s">
        <v>710</v>
      </c>
      <c r="E44" s="59" t="s">
        <v>711</v>
      </c>
      <c r="F44" s="65"/>
      <c r="G44" s="66" t="s">
        <v>11</v>
      </c>
      <c r="H44" s="66" t="s">
        <v>11</v>
      </c>
      <c r="I44" s="58">
        <v>12</v>
      </c>
      <c r="O44" s="63">
        <v>0</v>
      </c>
      <c r="P44" s="63">
        <v>1</v>
      </c>
      <c r="Q44" s="63">
        <v>0</v>
      </c>
      <c r="R44" s="63">
        <v>1</v>
      </c>
      <c r="S44" s="63">
        <v>0</v>
      </c>
      <c r="T44" s="63">
        <v>0</v>
      </c>
      <c r="U44" s="63">
        <v>0</v>
      </c>
      <c r="V44" s="63">
        <v>1</v>
      </c>
      <c r="W44" s="63" t="str">
        <f t="shared" si="3"/>
        <v>11</v>
      </c>
    </row>
    <row r="45" spans="2:23" ht="15" customHeight="1">
      <c r="B45" s="59" t="s">
        <v>219</v>
      </c>
      <c r="C45" s="59" t="str">
        <f t="shared" si="1"/>
        <v>0x52</v>
      </c>
      <c r="D45" s="59" t="s">
        <v>710</v>
      </c>
      <c r="E45" s="59" t="s">
        <v>711</v>
      </c>
      <c r="F45" s="65"/>
      <c r="G45" s="66" t="s">
        <v>11</v>
      </c>
      <c r="H45" s="66" t="s">
        <v>11</v>
      </c>
      <c r="I45" s="58">
        <v>12</v>
      </c>
      <c r="O45" s="63">
        <v>0</v>
      </c>
      <c r="P45" s="63">
        <v>1</v>
      </c>
      <c r="Q45" s="63">
        <v>0</v>
      </c>
      <c r="R45" s="63">
        <v>1</v>
      </c>
      <c r="S45" s="63">
        <v>0</v>
      </c>
      <c r="T45" s="63">
        <v>0</v>
      </c>
      <c r="U45" s="63">
        <v>1</v>
      </c>
      <c r="V45" s="63">
        <v>0</v>
      </c>
      <c r="W45" s="63" t="str">
        <f t="shared" si="3"/>
        <v>12</v>
      </c>
    </row>
    <row r="46" spans="2:23" ht="15" customHeight="1">
      <c r="B46" s="59" t="s">
        <v>222</v>
      </c>
      <c r="C46" s="59" t="str">
        <f t="shared" si="1"/>
        <v>0x53</v>
      </c>
      <c r="D46" s="59" t="s">
        <v>710</v>
      </c>
      <c r="E46" s="59" t="s">
        <v>711</v>
      </c>
      <c r="F46" s="65"/>
      <c r="G46" s="66" t="s">
        <v>11</v>
      </c>
      <c r="H46" s="66" t="s">
        <v>11</v>
      </c>
      <c r="I46" s="58">
        <v>12</v>
      </c>
      <c r="O46" s="63">
        <v>0</v>
      </c>
      <c r="P46" s="63">
        <v>1</v>
      </c>
      <c r="Q46" s="63">
        <v>0</v>
      </c>
      <c r="R46" s="63">
        <v>1</v>
      </c>
      <c r="S46" s="63">
        <v>0</v>
      </c>
      <c r="T46" s="63">
        <v>0</v>
      </c>
      <c r="U46" s="63">
        <v>1</v>
      </c>
      <c r="V46" s="63">
        <v>1</v>
      </c>
      <c r="W46" s="63" t="str">
        <f t="shared" si="3"/>
        <v>13</v>
      </c>
    </row>
    <row r="47" spans="2:23" ht="15" customHeight="1">
      <c r="B47" s="59" t="s">
        <v>225</v>
      </c>
      <c r="C47" s="59" t="str">
        <f t="shared" si="1"/>
        <v>0x54</v>
      </c>
      <c r="D47" s="59" t="s">
        <v>710</v>
      </c>
      <c r="E47" s="59" t="s">
        <v>711</v>
      </c>
      <c r="F47" s="65"/>
      <c r="G47" s="66" t="s">
        <v>11</v>
      </c>
      <c r="H47" s="66" t="s">
        <v>11</v>
      </c>
      <c r="I47" s="58">
        <v>12</v>
      </c>
      <c r="O47" s="63">
        <v>0</v>
      </c>
      <c r="P47" s="63">
        <v>1</v>
      </c>
      <c r="Q47" s="63">
        <v>0</v>
      </c>
      <c r="R47" s="63">
        <v>1</v>
      </c>
      <c r="S47" s="63">
        <v>0</v>
      </c>
      <c r="T47" s="63">
        <v>1</v>
      </c>
      <c r="U47" s="63">
        <v>0</v>
      </c>
      <c r="V47" s="63">
        <v>0</v>
      </c>
      <c r="W47" s="63" t="str">
        <f t="shared" si="3"/>
        <v>14</v>
      </c>
    </row>
    <row r="48" spans="2:23" ht="15" customHeight="1">
      <c r="B48" s="59" t="s">
        <v>228</v>
      </c>
      <c r="C48" s="59" t="str">
        <f t="shared" si="1"/>
        <v>0x55</v>
      </c>
      <c r="D48" s="59" t="s">
        <v>710</v>
      </c>
      <c r="E48" s="59" t="s">
        <v>711</v>
      </c>
      <c r="F48" s="65"/>
      <c r="G48" s="66" t="s">
        <v>11</v>
      </c>
      <c r="H48" s="66" t="s">
        <v>11</v>
      </c>
      <c r="I48" s="58">
        <v>12</v>
      </c>
      <c r="O48" s="63">
        <v>0</v>
      </c>
      <c r="P48" s="63">
        <v>1</v>
      </c>
      <c r="Q48" s="63">
        <v>0</v>
      </c>
      <c r="R48" s="63">
        <v>1</v>
      </c>
      <c r="S48" s="63">
        <v>0</v>
      </c>
      <c r="T48" s="63">
        <v>1</v>
      </c>
      <c r="U48" s="63">
        <v>0</v>
      </c>
      <c r="V48" s="63">
        <v>1</v>
      </c>
      <c r="W48" s="63" t="str">
        <f t="shared" si="3"/>
        <v>15</v>
      </c>
    </row>
    <row r="49" spans="2:23" ht="15" customHeight="1">
      <c r="B49" s="59" t="s">
        <v>231</v>
      </c>
      <c r="C49" s="59" t="str">
        <f t="shared" si="1"/>
        <v>0x56</v>
      </c>
      <c r="D49" s="59" t="s">
        <v>710</v>
      </c>
      <c r="E49" s="59" t="s">
        <v>711</v>
      </c>
      <c r="F49" s="65"/>
      <c r="G49" s="66" t="s">
        <v>11</v>
      </c>
      <c r="H49" s="66" t="s">
        <v>11</v>
      </c>
      <c r="I49" s="58">
        <v>12</v>
      </c>
      <c r="O49" s="63">
        <v>0</v>
      </c>
      <c r="P49" s="63">
        <v>1</v>
      </c>
      <c r="Q49" s="63">
        <v>0</v>
      </c>
      <c r="R49" s="63">
        <v>1</v>
      </c>
      <c r="S49" s="63">
        <v>0</v>
      </c>
      <c r="T49" s="63">
        <v>1</v>
      </c>
      <c r="U49" s="63">
        <v>1</v>
      </c>
      <c r="V49" s="63">
        <v>0</v>
      </c>
      <c r="W49" s="63" t="str">
        <f t="shared" si="3"/>
        <v>16</v>
      </c>
    </row>
    <row r="50" spans="2:23" ht="15" customHeight="1">
      <c r="B50" s="59" t="s">
        <v>234</v>
      </c>
      <c r="C50" s="59" t="str">
        <f t="shared" si="1"/>
        <v>0x57</v>
      </c>
      <c r="D50" s="59" t="s">
        <v>710</v>
      </c>
      <c r="E50" s="59" t="s">
        <v>711</v>
      </c>
      <c r="F50" s="65"/>
      <c r="G50" s="66" t="s">
        <v>11</v>
      </c>
      <c r="H50" s="66" t="s">
        <v>11</v>
      </c>
      <c r="I50" s="58">
        <v>12</v>
      </c>
      <c r="O50" s="63">
        <v>0</v>
      </c>
      <c r="P50" s="63">
        <v>1</v>
      </c>
      <c r="Q50" s="63">
        <v>0</v>
      </c>
      <c r="R50" s="63">
        <v>1</v>
      </c>
      <c r="S50" s="63">
        <v>0</v>
      </c>
      <c r="T50" s="63">
        <v>1</v>
      </c>
      <c r="U50" s="63">
        <v>1</v>
      </c>
      <c r="V50" s="63">
        <v>1</v>
      </c>
      <c r="W50" s="63" t="str">
        <f t="shared" si="3"/>
        <v>17</v>
      </c>
    </row>
    <row r="51" spans="2:23" ht="15" customHeight="1">
      <c r="B51" s="59" t="s">
        <v>237</v>
      </c>
      <c r="C51" s="59" t="str">
        <f t="shared" si="1"/>
        <v>0x58</v>
      </c>
      <c r="D51" s="59" t="s">
        <v>710</v>
      </c>
      <c r="E51" s="59" t="s">
        <v>711</v>
      </c>
      <c r="F51" s="65"/>
      <c r="G51" s="66" t="s">
        <v>11</v>
      </c>
      <c r="H51" s="66" t="s">
        <v>11</v>
      </c>
      <c r="I51" s="58">
        <v>12</v>
      </c>
      <c r="O51" s="63">
        <v>0</v>
      </c>
      <c r="P51" s="63">
        <v>1</v>
      </c>
      <c r="Q51" s="63">
        <v>0</v>
      </c>
      <c r="R51" s="63">
        <v>1</v>
      </c>
      <c r="S51" s="63">
        <v>1</v>
      </c>
      <c r="T51" s="63">
        <v>0</v>
      </c>
      <c r="U51" s="63">
        <v>0</v>
      </c>
      <c r="V51" s="63">
        <v>0</v>
      </c>
      <c r="W51" s="63" t="str">
        <f t="shared" si="3"/>
        <v>18</v>
      </c>
    </row>
    <row r="52" spans="2:23" ht="15" customHeight="1">
      <c r="B52" s="59" t="s">
        <v>240</v>
      </c>
      <c r="C52" s="59" t="str">
        <f t="shared" si="1"/>
        <v>0x59</v>
      </c>
      <c r="D52" s="59" t="s">
        <v>710</v>
      </c>
      <c r="E52" s="59" t="s">
        <v>711</v>
      </c>
      <c r="F52" s="65"/>
      <c r="G52" s="66" t="s">
        <v>11</v>
      </c>
      <c r="H52" s="66" t="s">
        <v>11</v>
      </c>
      <c r="I52" s="58">
        <v>12</v>
      </c>
      <c r="O52" s="63">
        <v>0</v>
      </c>
      <c r="P52" s="63">
        <v>1</v>
      </c>
      <c r="Q52" s="63">
        <v>0</v>
      </c>
      <c r="R52" s="63">
        <v>1</v>
      </c>
      <c r="S52" s="63">
        <v>1</v>
      </c>
      <c r="T52" s="63">
        <v>0</v>
      </c>
      <c r="U52" s="63">
        <v>0</v>
      </c>
      <c r="V52" s="63">
        <v>1</v>
      </c>
      <c r="W52" s="63" t="str">
        <f t="shared" si="3"/>
        <v>19</v>
      </c>
    </row>
    <row r="53" spans="2:23" ht="15" customHeight="1">
      <c r="B53" s="59" t="s">
        <v>766</v>
      </c>
      <c r="C53" s="59" t="str">
        <f t="shared" si="1"/>
        <v>0x5A</v>
      </c>
      <c r="D53" s="59" t="s">
        <v>712</v>
      </c>
      <c r="E53" s="59" t="s">
        <v>711</v>
      </c>
      <c r="F53" s="65"/>
      <c r="G53" s="66" t="s">
        <v>11</v>
      </c>
      <c r="H53" s="66" t="s">
        <v>11</v>
      </c>
      <c r="I53" s="58">
        <v>12</v>
      </c>
      <c r="O53" s="63">
        <v>0</v>
      </c>
      <c r="P53" s="63">
        <v>1</v>
      </c>
      <c r="Q53" s="63">
        <v>0</v>
      </c>
      <c r="R53" s="63">
        <v>1</v>
      </c>
      <c r="S53" s="63">
        <v>1</v>
      </c>
      <c r="T53" s="63">
        <v>0</v>
      </c>
      <c r="U53" s="63">
        <v>1</v>
      </c>
      <c r="V53" s="63">
        <v>0</v>
      </c>
      <c r="W53" s="63" t="str">
        <f>BIN2HEX(_xlfn.CONCAT(Q53,R53,S53,T53,U53,V53),2)</f>
        <v>1A</v>
      </c>
    </row>
  </sheetData>
  <mergeCells count="5">
    <mergeCell ref="B2:B3"/>
    <mergeCell ref="C2:E2"/>
    <mergeCell ref="F2:H2"/>
    <mergeCell ref="I2:I3"/>
    <mergeCell ref="M7:N7"/>
  </mergeCells>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7467E-6508-4796-80A1-AA10BA5FDD9E}">
  <dimension ref="B2:AA33"/>
  <sheetViews>
    <sheetView zoomScaleNormal="100" workbookViewId="0">
      <selection activeCell="X16" sqref="X16"/>
    </sheetView>
  </sheetViews>
  <sheetFormatPr defaultColWidth="9" defaultRowHeight="17" customHeight="1"/>
  <cols>
    <col min="1" max="1" width="9" style="63"/>
    <col min="2" max="2" width="5.3125" style="68" bestFit="1" customWidth="1"/>
    <col min="3" max="3" width="15.3125" style="63" bestFit="1" customWidth="1"/>
    <col min="4" max="4" width="10.4375" style="63" customWidth="1"/>
    <col min="5" max="9" width="4.75" style="63" customWidth="1"/>
    <col min="10" max="10" width="7.5625" style="63" customWidth="1"/>
    <col min="11" max="12" width="8.75" style="63" customWidth="1"/>
    <col min="13" max="13" width="8.5625" style="63" customWidth="1"/>
    <col min="14" max="14" width="10.0625" style="63" customWidth="1"/>
    <col min="15" max="15" width="10.3125" style="63" customWidth="1"/>
    <col min="16" max="16" width="11.5625" style="63" customWidth="1"/>
    <col min="17" max="17" width="10.3125" style="63" customWidth="1"/>
    <col min="18" max="18" width="6.9375" style="63" customWidth="1"/>
    <col min="19" max="19" width="6.75" style="63" customWidth="1"/>
    <col min="20" max="20" width="8" style="63" customWidth="1"/>
    <col min="21" max="21" width="8.25" style="63" customWidth="1"/>
    <col min="22" max="25" width="4.75" style="63" customWidth="1"/>
    <col min="26" max="26" width="13.0625" style="63" customWidth="1"/>
    <col min="27" max="27" width="8" style="63" bestFit="1" customWidth="1"/>
    <col min="28" max="16384" width="9" style="63"/>
  </cols>
  <sheetData>
    <row r="2" spans="2:27" ht="23.25">
      <c r="B2" s="86" t="s">
        <v>352</v>
      </c>
      <c r="C2" s="86" t="s">
        <v>353</v>
      </c>
      <c r="D2" s="87" t="s">
        <v>354</v>
      </c>
      <c r="E2" s="87" t="s">
        <v>355</v>
      </c>
      <c r="F2" s="87" t="s">
        <v>744</v>
      </c>
      <c r="G2" s="87" t="s">
        <v>745</v>
      </c>
      <c r="H2" s="87" t="s">
        <v>746</v>
      </c>
      <c r="I2" s="87" t="s">
        <v>747</v>
      </c>
      <c r="J2" s="87" t="s">
        <v>356</v>
      </c>
      <c r="K2" s="87" t="s">
        <v>357</v>
      </c>
      <c r="L2" s="87" t="s">
        <v>358</v>
      </c>
      <c r="M2" s="87" t="s">
        <v>359</v>
      </c>
      <c r="N2" s="86" t="s">
        <v>360</v>
      </c>
      <c r="O2" s="86" t="s">
        <v>361</v>
      </c>
      <c r="P2" s="86" t="s">
        <v>362</v>
      </c>
      <c r="Q2" s="86" t="s">
        <v>363</v>
      </c>
      <c r="R2" s="86" t="s">
        <v>364</v>
      </c>
      <c r="S2" s="86" t="s">
        <v>365</v>
      </c>
      <c r="T2" s="86" t="s">
        <v>366</v>
      </c>
      <c r="U2" s="86" t="s">
        <v>367</v>
      </c>
      <c r="V2" s="150" t="s">
        <v>736</v>
      </c>
      <c r="W2" s="151"/>
      <c r="X2" s="151"/>
      <c r="Y2" s="152"/>
      <c r="Z2" s="87" t="s">
        <v>368</v>
      </c>
      <c r="AA2" s="87" t="s">
        <v>369</v>
      </c>
    </row>
    <row r="3" spans="2:27" ht="13.15">
      <c r="B3" s="86"/>
      <c r="C3" s="86"/>
      <c r="D3" s="87"/>
      <c r="E3" s="87"/>
      <c r="F3" s="153" t="s">
        <v>748</v>
      </c>
      <c r="G3" s="153"/>
      <c r="H3" s="153"/>
      <c r="I3" s="153"/>
      <c r="J3" s="87" t="s">
        <v>447</v>
      </c>
      <c r="K3" s="87" t="s">
        <v>448</v>
      </c>
      <c r="L3" s="87" t="s">
        <v>746</v>
      </c>
      <c r="M3" s="87" t="s">
        <v>747</v>
      </c>
      <c r="N3" s="87" t="s">
        <v>749</v>
      </c>
      <c r="O3" s="87" t="s">
        <v>750</v>
      </c>
      <c r="P3" s="87" t="s">
        <v>751</v>
      </c>
      <c r="Q3" s="87" t="s">
        <v>752</v>
      </c>
      <c r="R3" s="87" t="s">
        <v>753</v>
      </c>
      <c r="S3" s="87" t="s">
        <v>754</v>
      </c>
      <c r="T3" s="87" t="s">
        <v>362</v>
      </c>
      <c r="U3" s="87" t="s">
        <v>363</v>
      </c>
      <c r="V3" s="87" t="s">
        <v>364</v>
      </c>
      <c r="W3" s="87" t="s">
        <v>365</v>
      </c>
      <c r="X3" s="87" t="s">
        <v>366</v>
      </c>
      <c r="Y3" s="87" t="s">
        <v>367</v>
      </c>
      <c r="Z3" s="87"/>
      <c r="AA3" s="87"/>
    </row>
    <row r="4" spans="2:27" ht="17" customHeight="1">
      <c r="B4" s="58" t="s">
        <v>161</v>
      </c>
      <c r="C4" s="58" t="s">
        <v>370</v>
      </c>
      <c r="D4" s="58" t="s">
        <v>371</v>
      </c>
      <c r="E4" s="58" t="s">
        <v>372</v>
      </c>
      <c r="F4" s="79" t="s">
        <v>735</v>
      </c>
      <c r="G4" s="79" t="s">
        <v>735</v>
      </c>
      <c r="H4" s="79" t="s">
        <v>735</v>
      </c>
      <c r="I4" s="79" t="s">
        <v>735</v>
      </c>
      <c r="J4" s="62" t="s">
        <v>373</v>
      </c>
      <c r="K4" s="62" t="s">
        <v>373</v>
      </c>
      <c r="L4" s="62" t="s">
        <v>373</v>
      </c>
      <c r="M4" s="62" t="s">
        <v>373</v>
      </c>
      <c r="N4" s="62" t="s">
        <v>373</v>
      </c>
      <c r="O4" s="149" t="s">
        <v>374</v>
      </c>
      <c r="P4" s="149"/>
      <c r="Q4" s="149"/>
      <c r="R4" s="149" t="s">
        <v>375</v>
      </c>
      <c r="S4" s="149"/>
      <c r="T4" s="149" t="s">
        <v>376</v>
      </c>
      <c r="U4" s="149"/>
      <c r="V4" s="79">
        <v>0</v>
      </c>
      <c r="W4" s="79">
        <v>0</v>
      </c>
      <c r="X4" s="79">
        <v>0</v>
      </c>
      <c r="Y4" s="79">
        <v>0</v>
      </c>
      <c r="Z4" s="60" t="s">
        <v>377</v>
      </c>
      <c r="AA4" s="58" t="str">
        <f>_xlfn.CONCAT("0x",BIN2HEX(MID(Z4,1,4),1),BIN2HEX(MID(Z4,6,4),1),BIN2HEX(MID(Z4,11,4),1))</f>
        <v>0x000</v>
      </c>
    </row>
    <row r="5" spans="2:27" ht="17" customHeight="1">
      <c r="B5" s="61" t="s">
        <v>167</v>
      </c>
      <c r="C5" s="58" t="s">
        <v>378</v>
      </c>
      <c r="D5" s="58" t="s">
        <v>371</v>
      </c>
      <c r="E5" s="58" t="s">
        <v>379</v>
      </c>
      <c r="F5" s="79" t="s">
        <v>735</v>
      </c>
      <c r="G5" s="79" t="s">
        <v>735</v>
      </c>
      <c r="H5" s="79" t="s">
        <v>735</v>
      </c>
      <c r="I5" s="79" t="s">
        <v>735</v>
      </c>
      <c r="J5" s="59" t="s">
        <v>487</v>
      </c>
      <c r="K5" s="59" t="s">
        <v>380</v>
      </c>
      <c r="L5" s="59" t="s">
        <v>381</v>
      </c>
      <c r="M5" s="59" t="s">
        <v>382</v>
      </c>
      <c r="N5" s="59" t="s">
        <v>383</v>
      </c>
      <c r="O5" s="59" t="s">
        <v>384</v>
      </c>
      <c r="P5" s="59" t="s">
        <v>385</v>
      </c>
      <c r="Q5" s="59" t="s">
        <v>386</v>
      </c>
      <c r="R5" s="59" t="s">
        <v>387</v>
      </c>
      <c r="S5" s="59" t="s">
        <v>388</v>
      </c>
      <c r="T5" s="59" t="s">
        <v>389</v>
      </c>
      <c r="U5" s="59" t="s">
        <v>390</v>
      </c>
      <c r="V5" s="79">
        <v>0</v>
      </c>
      <c r="W5" s="79">
        <v>0</v>
      </c>
      <c r="X5" s="79">
        <v>0</v>
      </c>
      <c r="Y5" s="79">
        <v>0</v>
      </c>
      <c r="Z5" s="60" t="s">
        <v>377</v>
      </c>
      <c r="AA5" s="58" t="str">
        <f t="shared" ref="AA5:AA14" si="0">_xlfn.CONCAT("0x",BIN2HEX(MID(Z5,1,4),1),BIN2HEX(MID(Z5,6,4),1),BIN2HEX(MID(Z5,11,4),1))</f>
        <v>0x000</v>
      </c>
    </row>
    <row r="6" spans="2:27" ht="17" customHeight="1">
      <c r="B6" s="58" t="s">
        <v>391</v>
      </c>
      <c r="C6" s="58" t="s">
        <v>392</v>
      </c>
      <c r="D6" s="58" t="s">
        <v>371</v>
      </c>
      <c r="E6" s="58" t="s">
        <v>372</v>
      </c>
      <c r="F6" s="79" t="s">
        <v>735</v>
      </c>
      <c r="G6" s="79" t="s">
        <v>735</v>
      </c>
      <c r="H6" s="79" t="s">
        <v>735</v>
      </c>
      <c r="I6" s="79" t="s">
        <v>735</v>
      </c>
      <c r="J6" s="62" t="s">
        <v>373</v>
      </c>
      <c r="K6" s="62" t="s">
        <v>373</v>
      </c>
      <c r="L6" s="149" t="s">
        <v>393</v>
      </c>
      <c r="M6" s="149"/>
      <c r="N6" s="149"/>
      <c r="O6" s="149"/>
      <c r="P6" s="149"/>
      <c r="Q6" s="149"/>
      <c r="R6" s="149"/>
      <c r="S6" s="149"/>
      <c r="T6" s="149"/>
      <c r="U6" s="149"/>
      <c r="V6" s="79">
        <v>0</v>
      </c>
      <c r="W6" s="79">
        <v>0</v>
      </c>
      <c r="X6" s="79">
        <v>0</v>
      </c>
      <c r="Y6" s="79">
        <v>0</v>
      </c>
      <c r="Z6" s="60" t="s">
        <v>377</v>
      </c>
      <c r="AA6" s="58" t="str">
        <f t="shared" si="0"/>
        <v>0x000</v>
      </c>
    </row>
    <row r="7" spans="2:27" ht="17" customHeight="1">
      <c r="B7" s="58" t="s">
        <v>394</v>
      </c>
      <c r="C7" s="58" t="s">
        <v>395</v>
      </c>
      <c r="D7" s="58" t="s">
        <v>371</v>
      </c>
      <c r="E7" s="58" t="s">
        <v>372</v>
      </c>
      <c r="F7" s="79" t="s">
        <v>735</v>
      </c>
      <c r="G7" s="79" t="s">
        <v>735</v>
      </c>
      <c r="H7" s="79" t="s">
        <v>735</v>
      </c>
      <c r="I7" s="79" t="s">
        <v>735</v>
      </c>
      <c r="J7" s="62" t="s">
        <v>373</v>
      </c>
      <c r="K7" s="62" t="s">
        <v>373</v>
      </c>
      <c r="L7" s="149" t="s">
        <v>396</v>
      </c>
      <c r="M7" s="149"/>
      <c r="N7" s="149"/>
      <c r="O7" s="149"/>
      <c r="P7" s="149"/>
      <c r="Q7" s="149"/>
      <c r="R7" s="149"/>
      <c r="S7" s="149"/>
      <c r="T7" s="149"/>
      <c r="U7" s="149"/>
      <c r="V7" s="79">
        <v>0</v>
      </c>
      <c r="W7" s="79">
        <v>0</v>
      </c>
      <c r="X7" s="79">
        <v>0</v>
      </c>
      <c r="Y7" s="79">
        <v>0</v>
      </c>
      <c r="Z7" s="60" t="s">
        <v>377</v>
      </c>
      <c r="AA7" s="58" t="str">
        <f t="shared" si="0"/>
        <v>0x000</v>
      </c>
    </row>
    <row r="8" spans="2:27" ht="17" customHeight="1">
      <c r="B8" s="61" t="s">
        <v>397</v>
      </c>
      <c r="C8" s="58" t="s">
        <v>398</v>
      </c>
      <c r="D8" s="58" t="s">
        <v>371</v>
      </c>
      <c r="E8" s="58" t="s">
        <v>399</v>
      </c>
      <c r="F8" s="79" t="s">
        <v>735</v>
      </c>
      <c r="G8" s="79" t="s">
        <v>735</v>
      </c>
      <c r="H8" s="79" t="s">
        <v>735</v>
      </c>
      <c r="I8" s="79" t="s">
        <v>735</v>
      </c>
      <c r="J8" s="59" t="s">
        <v>400</v>
      </c>
      <c r="K8" s="59" t="s">
        <v>401</v>
      </c>
      <c r="L8" s="59" t="s">
        <v>402</v>
      </c>
      <c r="M8" s="59" t="s">
        <v>403</v>
      </c>
      <c r="N8" s="59" t="s">
        <v>404</v>
      </c>
      <c r="O8" s="59" t="s">
        <v>405</v>
      </c>
      <c r="P8" s="59" t="s">
        <v>733</v>
      </c>
      <c r="Q8" s="59" t="s">
        <v>407</v>
      </c>
      <c r="R8" s="149" t="s">
        <v>408</v>
      </c>
      <c r="S8" s="149"/>
      <c r="T8" s="149"/>
      <c r="U8" s="149"/>
      <c r="V8" s="79">
        <v>0</v>
      </c>
      <c r="W8" s="79">
        <v>0</v>
      </c>
      <c r="X8" s="79">
        <v>0</v>
      </c>
      <c r="Y8" s="79">
        <v>0</v>
      </c>
      <c r="Z8" s="60" t="s">
        <v>377</v>
      </c>
      <c r="AA8" s="58" t="str">
        <f t="shared" si="0"/>
        <v>0x000</v>
      </c>
    </row>
    <row r="9" spans="2:27" ht="17" customHeight="1">
      <c r="B9" s="58" t="s">
        <v>409</v>
      </c>
      <c r="C9" s="58" t="s">
        <v>410</v>
      </c>
      <c r="D9" s="58" t="s">
        <v>371</v>
      </c>
      <c r="E9" s="58" t="s">
        <v>399</v>
      </c>
      <c r="F9" s="79" t="s">
        <v>735</v>
      </c>
      <c r="G9" s="79" t="s">
        <v>735</v>
      </c>
      <c r="H9" s="79" t="s">
        <v>735</v>
      </c>
      <c r="I9" s="79" t="s">
        <v>735</v>
      </c>
      <c r="J9" s="62" t="s">
        <v>373</v>
      </c>
      <c r="K9" s="62" t="s">
        <v>373</v>
      </c>
      <c r="L9" s="62" t="s">
        <v>373</v>
      </c>
      <c r="M9" s="62" t="s">
        <v>373</v>
      </c>
      <c r="N9" s="62" t="s">
        <v>373</v>
      </c>
      <c r="O9" s="59" t="s">
        <v>406</v>
      </c>
      <c r="P9" s="59" t="s">
        <v>411</v>
      </c>
      <c r="Q9" s="59" t="s">
        <v>671</v>
      </c>
      <c r="R9" s="149" t="s">
        <v>412</v>
      </c>
      <c r="S9" s="149"/>
      <c r="T9" s="149" t="s">
        <v>413</v>
      </c>
      <c r="U9" s="149"/>
      <c r="V9" s="79">
        <v>0</v>
      </c>
      <c r="W9" s="79">
        <v>0</v>
      </c>
      <c r="X9" s="79">
        <v>0</v>
      </c>
      <c r="Y9" s="79">
        <v>0</v>
      </c>
      <c r="Z9" s="60" t="s">
        <v>840</v>
      </c>
      <c r="AA9" s="58" t="str">
        <f>_xlfn.CONCAT("0x",BIN2HEX(MID(Z9,1,4),1),BIN2HEX(MID(Z9,6,4),1),BIN2HEX(MID(Z9,11,4),1))</f>
        <v>0x00E</v>
      </c>
    </row>
    <row r="10" spans="2:27" ht="17" customHeight="1">
      <c r="B10" s="58" t="s">
        <v>414</v>
      </c>
      <c r="C10" s="58" t="s">
        <v>415</v>
      </c>
      <c r="D10" s="58" t="s">
        <v>371</v>
      </c>
      <c r="E10" s="58" t="s">
        <v>399</v>
      </c>
      <c r="F10" s="79" t="s">
        <v>735</v>
      </c>
      <c r="G10" s="79" t="s">
        <v>735</v>
      </c>
      <c r="H10" s="79" t="s">
        <v>735</v>
      </c>
      <c r="I10" s="79" t="s">
        <v>735</v>
      </c>
      <c r="J10" s="62" t="s">
        <v>373</v>
      </c>
      <c r="K10" s="62" t="s">
        <v>373</v>
      </c>
      <c r="L10" s="149" t="s">
        <v>416</v>
      </c>
      <c r="M10" s="149"/>
      <c r="N10" s="149"/>
      <c r="O10" s="149"/>
      <c r="P10" s="149"/>
      <c r="Q10" s="149"/>
      <c r="R10" s="149"/>
      <c r="S10" s="149"/>
      <c r="T10" s="149"/>
      <c r="U10" s="149"/>
      <c r="V10" s="79">
        <v>0</v>
      </c>
      <c r="W10" s="79">
        <v>0</v>
      </c>
      <c r="X10" s="79">
        <v>0</v>
      </c>
      <c r="Y10" s="79">
        <v>0</v>
      </c>
      <c r="Z10" s="60" t="s">
        <v>377</v>
      </c>
      <c r="AA10" s="58" t="str">
        <f t="shared" si="0"/>
        <v>0x000</v>
      </c>
    </row>
    <row r="11" spans="2:27" ht="17" customHeight="1">
      <c r="B11" s="61" t="s">
        <v>417</v>
      </c>
      <c r="C11" s="58" t="s">
        <v>418</v>
      </c>
      <c r="D11" s="58" t="s">
        <v>371</v>
      </c>
      <c r="E11" s="58" t="s">
        <v>399</v>
      </c>
      <c r="F11" s="79" t="s">
        <v>735</v>
      </c>
      <c r="G11" s="79" t="s">
        <v>735</v>
      </c>
      <c r="H11" s="79" t="s">
        <v>735</v>
      </c>
      <c r="I11" s="79" t="s">
        <v>735</v>
      </c>
      <c r="J11" s="62" t="s">
        <v>373</v>
      </c>
      <c r="K11" s="62" t="s">
        <v>373</v>
      </c>
      <c r="L11" s="149" t="s">
        <v>419</v>
      </c>
      <c r="M11" s="149"/>
      <c r="N11" s="149"/>
      <c r="O11" s="149"/>
      <c r="P11" s="149"/>
      <c r="Q11" s="149"/>
      <c r="R11" s="149"/>
      <c r="S11" s="149"/>
      <c r="T11" s="149"/>
      <c r="U11" s="149"/>
      <c r="V11" s="79">
        <v>0</v>
      </c>
      <c r="W11" s="79">
        <v>0</v>
      </c>
      <c r="X11" s="79">
        <v>0</v>
      </c>
      <c r="Y11" s="79">
        <v>0</v>
      </c>
      <c r="Z11" s="60" t="s">
        <v>377</v>
      </c>
      <c r="AA11" s="58" t="str">
        <f t="shared" si="0"/>
        <v>0x000</v>
      </c>
    </row>
    <row r="12" spans="2:27" ht="17" customHeight="1">
      <c r="B12" s="58" t="s">
        <v>203</v>
      </c>
      <c r="C12" s="58" t="s">
        <v>420</v>
      </c>
      <c r="D12" s="58" t="s">
        <v>371</v>
      </c>
      <c r="E12" s="58" t="s">
        <v>372</v>
      </c>
      <c r="F12" s="79" t="s">
        <v>735</v>
      </c>
      <c r="G12" s="79" t="s">
        <v>735</v>
      </c>
      <c r="H12" s="79" t="s">
        <v>735</v>
      </c>
      <c r="I12" s="79" t="s">
        <v>735</v>
      </c>
      <c r="J12" s="149" t="s">
        <v>421</v>
      </c>
      <c r="K12" s="149"/>
      <c r="L12" s="149"/>
      <c r="M12" s="149"/>
      <c r="N12" s="149"/>
      <c r="O12" s="149"/>
      <c r="P12" s="149"/>
      <c r="Q12" s="149"/>
      <c r="R12" s="149"/>
      <c r="S12" s="149"/>
      <c r="T12" s="149"/>
      <c r="U12" s="149"/>
      <c r="V12" s="79">
        <v>0</v>
      </c>
      <c r="W12" s="79">
        <v>0</v>
      </c>
      <c r="X12" s="79">
        <v>0</v>
      </c>
      <c r="Y12" s="79">
        <v>0</v>
      </c>
      <c r="Z12" s="60" t="s">
        <v>377</v>
      </c>
      <c r="AA12" s="58" t="str">
        <f t="shared" si="0"/>
        <v>0x000</v>
      </c>
    </row>
    <row r="13" spans="2:27" ht="17" customHeight="1">
      <c r="B13" s="61" t="s">
        <v>207</v>
      </c>
      <c r="C13" s="58" t="s">
        <v>422</v>
      </c>
      <c r="D13" s="58" t="s">
        <v>371</v>
      </c>
      <c r="E13" s="58" t="s">
        <v>372</v>
      </c>
      <c r="F13" s="79" t="s">
        <v>735</v>
      </c>
      <c r="G13" s="79" t="s">
        <v>735</v>
      </c>
      <c r="H13" s="79" t="s">
        <v>735</v>
      </c>
      <c r="I13" s="79" t="s">
        <v>735</v>
      </c>
      <c r="J13" s="149" t="s">
        <v>423</v>
      </c>
      <c r="K13" s="149"/>
      <c r="L13" s="149"/>
      <c r="M13" s="149"/>
      <c r="N13" s="149"/>
      <c r="O13" s="149"/>
      <c r="P13" s="149"/>
      <c r="Q13" s="149"/>
      <c r="R13" s="149"/>
      <c r="S13" s="149"/>
      <c r="T13" s="149"/>
      <c r="U13" s="149"/>
      <c r="V13" s="79">
        <v>0</v>
      </c>
      <c r="W13" s="79">
        <v>0</v>
      </c>
      <c r="X13" s="79">
        <v>0</v>
      </c>
      <c r="Y13" s="79">
        <v>0</v>
      </c>
      <c r="Z13" s="60" t="s">
        <v>377</v>
      </c>
      <c r="AA13" s="58" t="str">
        <f t="shared" si="0"/>
        <v>0x000</v>
      </c>
    </row>
    <row r="14" spans="2:27" ht="17" customHeight="1">
      <c r="B14" s="58" t="s">
        <v>211</v>
      </c>
      <c r="C14" s="58" t="s">
        <v>424</v>
      </c>
      <c r="D14" s="58" t="s">
        <v>371</v>
      </c>
      <c r="E14" s="58" t="s">
        <v>372</v>
      </c>
      <c r="F14" s="79" t="s">
        <v>735</v>
      </c>
      <c r="G14" s="79" t="s">
        <v>735</v>
      </c>
      <c r="H14" s="79" t="s">
        <v>735</v>
      </c>
      <c r="I14" s="79" t="s">
        <v>735</v>
      </c>
      <c r="J14" s="149" t="s">
        <v>425</v>
      </c>
      <c r="K14" s="149"/>
      <c r="L14" s="149"/>
      <c r="M14" s="149"/>
      <c r="N14" s="149"/>
      <c r="O14" s="149"/>
      <c r="P14" s="149"/>
      <c r="Q14" s="149"/>
      <c r="R14" s="149"/>
      <c r="S14" s="149"/>
      <c r="T14" s="149"/>
      <c r="U14" s="149"/>
      <c r="V14" s="79">
        <v>0</v>
      </c>
      <c r="W14" s="79">
        <v>0</v>
      </c>
      <c r="X14" s="79">
        <v>0</v>
      </c>
      <c r="Y14" s="79">
        <v>0</v>
      </c>
      <c r="Z14" s="60" t="s">
        <v>377</v>
      </c>
      <c r="AA14" s="58" t="str">
        <f t="shared" si="0"/>
        <v>0x000</v>
      </c>
    </row>
    <row r="15" spans="2:27" ht="17" customHeight="1">
      <c r="B15" s="58" t="s">
        <v>713</v>
      </c>
      <c r="C15" s="58" t="s">
        <v>636</v>
      </c>
      <c r="D15" s="58" t="s">
        <v>371</v>
      </c>
      <c r="E15" s="58" t="s">
        <v>399</v>
      </c>
      <c r="F15" s="79" t="s">
        <v>735</v>
      </c>
      <c r="G15" s="79" t="s">
        <v>735</v>
      </c>
      <c r="H15" s="79" t="s">
        <v>735</v>
      </c>
      <c r="I15" s="79" t="s">
        <v>735</v>
      </c>
      <c r="J15" s="149" t="s">
        <v>592</v>
      </c>
      <c r="K15" s="149"/>
      <c r="L15" s="149"/>
      <c r="M15" s="149"/>
      <c r="N15" s="149" t="s">
        <v>591</v>
      </c>
      <c r="O15" s="149"/>
      <c r="P15" s="149"/>
      <c r="Q15" s="149"/>
      <c r="R15" s="149" t="s">
        <v>590</v>
      </c>
      <c r="S15" s="149"/>
      <c r="T15" s="149"/>
      <c r="U15" s="149"/>
      <c r="V15" s="79">
        <v>0</v>
      </c>
      <c r="W15" s="79">
        <v>0</v>
      </c>
      <c r="X15" s="79">
        <v>0</v>
      </c>
      <c r="Y15" s="79">
        <v>0</v>
      </c>
      <c r="Z15" s="60" t="s">
        <v>841</v>
      </c>
      <c r="AA15" s="58" t="str">
        <f>_xlfn.CONCAT("0x",BIN2HEX(MID(Z15,1,4),1),BIN2HEX(MID(Z15,6,4),1),BIN2HEX(MID(Z15,11,4),1))</f>
        <v>0x888</v>
      </c>
    </row>
    <row r="16" spans="2:27" ht="17" customHeight="1">
      <c r="B16" s="58" t="s">
        <v>426</v>
      </c>
      <c r="C16" s="58" t="s">
        <v>427</v>
      </c>
      <c r="D16" s="58" t="s">
        <v>371</v>
      </c>
      <c r="E16" s="58" t="s">
        <v>399</v>
      </c>
      <c r="F16" s="79" t="s">
        <v>735</v>
      </c>
      <c r="G16" s="79" t="s">
        <v>735</v>
      </c>
      <c r="H16" s="79" t="s">
        <v>735</v>
      </c>
      <c r="I16" s="79" t="s">
        <v>735</v>
      </c>
      <c r="J16" s="149" t="s">
        <v>830</v>
      </c>
      <c r="K16" s="149"/>
      <c r="L16" s="149"/>
      <c r="M16" s="149"/>
      <c r="N16" s="149"/>
      <c r="O16" s="149"/>
      <c r="P16" s="149"/>
      <c r="Q16" s="149"/>
      <c r="R16" s="149"/>
      <c r="S16" s="149"/>
      <c r="T16" s="149"/>
      <c r="U16" s="149"/>
      <c r="V16" s="79">
        <v>0</v>
      </c>
      <c r="W16" s="79">
        <v>0</v>
      </c>
      <c r="X16" s="79">
        <v>0</v>
      </c>
      <c r="Y16" s="79">
        <v>0</v>
      </c>
      <c r="Z16" s="60" t="s">
        <v>729</v>
      </c>
      <c r="AA16" s="58" t="str">
        <f t="shared" ref="AA16:AA25" si="1">_xlfn.CONCAT("0x",BIN2HEX(MID(Z16,1,4),1),BIN2HEX(MID(Z16,6,4),1),BIN2HEX(MID(Z16,11,4),1))</f>
        <v>0x200</v>
      </c>
    </row>
    <row r="17" spans="2:27" ht="17" customHeight="1">
      <c r="B17" s="58" t="s">
        <v>429</v>
      </c>
      <c r="C17" s="58" t="s">
        <v>430</v>
      </c>
      <c r="D17" s="58" t="s">
        <v>371</v>
      </c>
      <c r="E17" s="58" t="s">
        <v>399</v>
      </c>
      <c r="F17" s="79" t="s">
        <v>735</v>
      </c>
      <c r="G17" s="79" t="s">
        <v>735</v>
      </c>
      <c r="H17" s="79" t="s">
        <v>735</v>
      </c>
      <c r="I17" s="79" t="s">
        <v>735</v>
      </c>
      <c r="J17" s="149" t="s">
        <v>831</v>
      </c>
      <c r="K17" s="149"/>
      <c r="L17" s="149"/>
      <c r="M17" s="149"/>
      <c r="N17" s="149"/>
      <c r="O17" s="149"/>
      <c r="P17" s="149"/>
      <c r="Q17" s="149"/>
      <c r="R17" s="149"/>
      <c r="S17" s="149"/>
      <c r="T17" s="149"/>
      <c r="U17" s="149"/>
      <c r="V17" s="79">
        <v>0</v>
      </c>
      <c r="W17" s="79">
        <v>0</v>
      </c>
      <c r="X17" s="79">
        <v>0</v>
      </c>
      <c r="Y17" s="79">
        <v>0</v>
      </c>
      <c r="Z17" s="60" t="s">
        <v>729</v>
      </c>
      <c r="AA17" s="58" t="str">
        <f t="shared" si="1"/>
        <v>0x200</v>
      </c>
    </row>
    <row r="18" spans="2:27" ht="17" customHeight="1">
      <c r="B18" s="58" t="s">
        <v>431</v>
      </c>
      <c r="C18" s="58" t="s">
        <v>432</v>
      </c>
      <c r="D18" s="58" t="s">
        <v>371</v>
      </c>
      <c r="E18" s="58" t="s">
        <v>399</v>
      </c>
      <c r="F18" s="79" t="s">
        <v>735</v>
      </c>
      <c r="G18" s="79" t="s">
        <v>735</v>
      </c>
      <c r="H18" s="79" t="s">
        <v>735</v>
      </c>
      <c r="I18" s="79" t="s">
        <v>735</v>
      </c>
      <c r="J18" s="149" t="s">
        <v>832</v>
      </c>
      <c r="K18" s="149"/>
      <c r="L18" s="149"/>
      <c r="M18" s="149"/>
      <c r="N18" s="149"/>
      <c r="O18" s="149"/>
      <c r="P18" s="149"/>
      <c r="Q18" s="149"/>
      <c r="R18" s="149"/>
      <c r="S18" s="149"/>
      <c r="T18" s="149"/>
      <c r="U18" s="149"/>
      <c r="V18" s="79">
        <v>0</v>
      </c>
      <c r="W18" s="79">
        <v>0</v>
      </c>
      <c r="X18" s="79">
        <v>0</v>
      </c>
      <c r="Y18" s="79">
        <v>0</v>
      </c>
      <c r="Z18" s="60" t="s">
        <v>730</v>
      </c>
      <c r="AA18" s="58" t="str">
        <f t="shared" si="1"/>
        <v>0x21A</v>
      </c>
    </row>
    <row r="19" spans="2:27" ht="17" customHeight="1">
      <c r="B19" s="58" t="s">
        <v>433</v>
      </c>
      <c r="C19" s="58" t="s">
        <v>434</v>
      </c>
      <c r="D19" s="58" t="s">
        <v>371</v>
      </c>
      <c r="E19" s="58" t="s">
        <v>399</v>
      </c>
      <c r="F19" s="79" t="s">
        <v>735</v>
      </c>
      <c r="G19" s="79" t="s">
        <v>735</v>
      </c>
      <c r="H19" s="79" t="s">
        <v>735</v>
      </c>
      <c r="I19" s="79" t="s">
        <v>735</v>
      </c>
      <c r="J19" s="149" t="s">
        <v>833</v>
      </c>
      <c r="K19" s="149"/>
      <c r="L19" s="149"/>
      <c r="M19" s="149"/>
      <c r="N19" s="149"/>
      <c r="O19" s="149"/>
      <c r="P19" s="149"/>
      <c r="Q19" s="149"/>
      <c r="R19" s="149"/>
      <c r="S19" s="149"/>
      <c r="T19" s="149"/>
      <c r="U19" s="149"/>
      <c r="V19" s="79">
        <v>0</v>
      </c>
      <c r="W19" s="79">
        <v>0</v>
      </c>
      <c r="X19" s="79">
        <v>0</v>
      </c>
      <c r="Y19" s="79">
        <v>0</v>
      </c>
      <c r="Z19" s="60" t="s">
        <v>781</v>
      </c>
      <c r="AA19" s="58" t="str">
        <f t="shared" si="1"/>
        <v>0x231</v>
      </c>
    </row>
    <row r="20" spans="2:27" ht="17" customHeight="1">
      <c r="B20" s="58" t="s">
        <v>435</v>
      </c>
      <c r="C20" s="58" t="s">
        <v>436</v>
      </c>
      <c r="D20" s="58" t="s">
        <v>371</v>
      </c>
      <c r="E20" s="58" t="s">
        <v>399</v>
      </c>
      <c r="F20" s="79" t="s">
        <v>735</v>
      </c>
      <c r="G20" s="79" t="s">
        <v>735</v>
      </c>
      <c r="H20" s="79" t="s">
        <v>735</v>
      </c>
      <c r="I20" s="79" t="s">
        <v>735</v>
      </c>
      <c r="J20" s="149" t="s">
        <v>834</v>
      </c>
      <c r="K20" s="149"/>
      <c r="L20" s="149"/>
      <c r="M20" s="149"/>
      <c r="N20" s="149"/>
      <c r="O20" s="149"/>
      <c r="P20" s="149"/>
      <c r="Q20" s="149"/>
      <c r="R20" s="149"/>
      <c r="S20" s="149"/>
      <c r="T20" s="149"/>
      <c r="U20" s="149"/>
      <c r="V20" s="79">
        <v>0</v>
      </c>
      <c r="W20" s="79">
        <v>0</v>
      </c>
      <c r="X20" s="79">
        <v>0</v>
      </c>
      <c r="Y20" s="79">
        <v>0</v>
      </c>
      <c r="Z20" s="60" t="s">
        <v>731</v>
      </c>
      <c r="AA20" s="58" t="str">
        <f t="shared" si="1"/>
        <v>0x248</v>
      </c>
    </row>
    <row r="21" spans="2:27" ht="17" customHeight="1">
      <c r="B21" s="58" t="s">
        <v>437</v>
      </c>
      <c r="C21" s="58" t="s">
        <v>438</v>
      </c>
      <c r="D21" s="58" t="s">
        <v>371</v>
      </c>
      <c r="E21" s="58" t="s">
        <v>399</v>
      </c>
      <c r="F21" s="79" t="s">
        <v>735</v>
      </c>
      <c r="G21" s="79" t="s">
        <v>735</v>
      </c>
      <c r="H21" s="79" t="s">
        <v>735</v>
      </c>
      <c r="I21" s="79" t="s">
        <v>735</v>
      </c>
      <c r="J21" s="149" t="s">
        <v>835</v>
      </c>
      <c r="K21" s="149"/>
      <c r="L21" s="149"/>
      <c r="M21" s="149"/>
      <c r="N21" s="149"/>
      <c r="O21" s="149"/>
      <c r="P21" s="149"/>
      <c r="Q21" s="149"/>
      <c r="R21" s="149"/>
      <c r="S21" s="149"/>
      <c r="T21" s="149"/>
      <c r="U21" s="149"/>
      <c r="V21" s="79">
        <v>0</v>
      </c>
      <c r="W21" s="79">
        <v>0</v>
      </c>
      <c r="X21" s="79">
        <v>0</v>
      </c>
      <c r="Y21" s="79">
        <v>0</v>
      </c>
      <c r="Z21" s="60" t="s">
        <v>782</v>
      </c>
      <c r="AA21" s="58" t="str">
        <f t="shared" si="1"/>
        <v>0x25F</v>
      </c>
    </row>
    <row r="22" spans="2:27" ht="17" customHeight="1">
      <c r="B22" s="58" t="s">
        <v>439</v>
      </c>
      <c r="C22" s="58" t="s">
        <v>440</v>
      </c>
      <c r="D22" s="58" t="s">
        <v>371</v>
      </c>
      <c r="E22" s="58" t="s">
        <v>399</v>
      </c>
      <c r="F22" s="79" t="s">
        <v>735</v>
      </c>
      <c r="G22" s="79" t="s">
        <v>735</v>
      </c>
      <c r="H22" s="79" t="s">
        <v>735</v>
      </c>
      <c r="I22" s="79" t="s">
        <v>735</v>
      </c>
      <c r="J22" s="149" t="s">
        <v>836</v>
      </c>
      <c r="K22" s="149"/>
      <c r="L22" s="149"/>
      <c r="M22" s="149"/>
      <c r="N22" s="149"/>
      <c r="O22" s="149"/>
      <c r="P22" s="149"/>
      <c r="Q22" s="149"/>
      <c r="R22" s="149"/>
      <c r="S22" s="149"/>
      <c r="T22" s="149"/>
      <c r="U22" s="149"/>
      <c r="V22" s="79">
        <v>0</v>
      </c>
      <c r="W22" s="79">
        <v>0</v>
      </c>
      <c r="X22" s="79">
        <v>0</v>
      </c>
      <c r="Y22" s="79">
        <v>0</v>
      </c>
      <c r="Z22" s="60" t="s">
        <v>732</v>
      </c>
      <c r="AA22" s="58" t="str">
        <f t="shared" si="1"/>
        <v>0x276</v>
      </c>
    </row>
    <row r="23" spans="2:27" ht="17" customHeight="1">
      <c r="B23" s="58" t="s">
        <v>441</v>
      </c>
      <c r="C23" s="58" t="s">
        <v>442</v>
      </c>
      <c r="D23" s="58" t="s">
        <v>371</v>
      </c>
      <c r="E23" s="58" t="s">
        <v>399</v>
      </c>
      <c r="F23" s="79" t="s">
        <v>735</v>
      </c>
      <c r="G23" s="79" t="s">
        <v>735</v>
      </c>
      <c r="H23" s="79" t="s">
        <v>735</v>
      </c>
      <c r="I23" s="79" t="s">
        <v>735</v>
      </c>
      <c r="J23" s="149" t="s">
        <v>837</v>
      </c>
      <c r="K23" s="149"/>
      <c r="L23" s="149"/>
      <c r="M23" s="149"/>
      <c r="N23" s="149"/>
      <c r="O23" s="149"/>
      <c r="P23" s="149"/>
      <c r="Q23" s="149"/>
      <c r="R23" s="149"/>
      <c r="S23" s="149"/>
      <c r="T23" s="149"/>
      <c r="U23" s="149"/>
      <c r="V23" s="79">
        <v>0</v>
      </c>
      <c r="W23" s="79">
        <v>0</v>
      </c>
      <c r="X23" s="79">
        <v>0</v>
      </c>
      <c r="Y23" s="79">
        <v>0</v>
      </c>
      <c r="Z23" s="60" t="s">
        <v>783</v>
      </c>
      <c r="AA23" s="58" t="str">
        <f t="shared" si="1"/>
        <v>0x28D</v>
      </c>
    </row>
    <row r="24" spans="2:27" ht="17" customHeight="1">
      <c r="B24" s="58" t="s">
        <v>443</v>
      </c>
      <c r="C24" s="58" t="s">
        <v>444</v>
      </c>
      <c r="D24" s="58" t="s">
        <v>371</v>
      </c>
      <c r="E24" s="58" t="s">
        <v>399</v>
      </c>
      <c r="F24" s="79" t="s">
        <v>735</v>
      </c>
      <c r="G24" s="79" t="s">
        <v>735</v>
      </c>
      <c r="H24" s="79" t="s">
        <v>735</v>
      </c>
      <c r="I24" s="79" t="s">
        <v>735</v>
      </c>
      <c r="J24" s="149" t="s">
        <v>838</v>
      </c>
      <c r="K24" s="149"/>
      <c r="L24" s="149"/>
      <c r="M24" s="149"/>
      <c r="N24" s="149"/>
      <c r="O24" s="149"/>
      <c r="P24" s="149"/>
      <c r="Q24" s="149"/>
      <c r="R24" s="149"/>
      <c r="S24" s="149"/>
      <c r="T24" s="149"/>
      <c r="U24" s="149"/>
      <c r="V24" s="79">
        <v>0</v>
      </c>
      <c r="W24" s="79">
        <v>0</v>
      </c>
      <c r="X24" s="79">
        <v>0</v>
      </c>
      <c r="Y24" s="79">
        <v>0</v>
      </c>
      <c r="Z24" s="60" t="s">
        <v>784</v>
      </c>
      <c r="AA24" s="58" t="str">
        <f t="shared" si="1"/>
        <v>0x2A4</v>
      </c>
    </row>
    <row r="25" spans="2:27" ht="17" customHeight="1">
      <c r="B25" s="58" t="s">
        <v>445</v>
      </c>
      <c r="C25" s="58" t="s">
        <v>446</v>
      </c>
      <c r="D25" s="58" t="s">
        <v>371</v>
      </c>
      <c r="E25" s="58" t="s">
        <v>399</v>
      </c>
      <c r="F25" s="79" t="s">
        <v>735</v>
      </c>
      <c r="G25" s="79" t="s">
        <v>735</v>
      </c>
      <c r="H25" s="79" t="s">
        <v>735</v>
      </c>
      <c r="I25" s="79" t="s">
        <v>735</v>
      </c>
      <c r="J25" s="149" t="s">
        <v>839</v>
      </c>
      <c r="K25" s="149"/>
      <c r="L25" s="149"/>
      <c r="M25" s="149"/>
      <c r="N25" s="149"/>
      <c r="O25" s="149"/>
      <c r="P25" s="149"/>
      <c r="Q25" s="149"/>
      <c r="R25" s="149"/>
      <c r="S25" s="149"/>
      <c r="T25" s="149"/>
      <c r="U25" s="149"/>
      <c r="V25" s="79">
        <v>0</v>
      </c>
      <c r="W25" s="79">
        <v>0</v>
      </c>
      <c r="X25" s="79">
        <v>0</v>
      </c>
      <c r="Y25" s="79">
        <v>0</v>
      </c>
      <c r="Z25" s="60" t="s">
        <v>785</v>
      </c>
      <c r="AA25" s="58" t="str">
        <f t="shared" si="1"/>
        <v>0x2BB</v>
      </c>
    </row>
    <row r="26" spans="2:27" ht="17" customHeight="1">
      <c r="B26" s="58" t="s">
        <v>767</v>
      </c>
      <c r="C26" s="58" t="s">
        <v>768</v>
      </c>
      <c r="D26" s="58" t="s">
        <v>371</v>
      </c>
      <c r="E26" s="58" t="s">
        <v>399</v>
      </c>
      <c r="F26" s="79" t="s">
        <v>735</v>
      </c>
      <c r="G26" s="79" t="s">
        <v>735</v>
      </c>
      <c r="H26" s="79" t="s">
        <v>735</v>
      </c>
      <c r="I26" s="79" t="s">
        <v>735</v>
      </c>
      <c r="J26" s="149" t="s">
        <v>769</v>
      </c>
      <c r="K26" s="149"/>
      <c r="L26" s="149"/>
      <c r="M26" s="149"/>
      <c r="N26" s="149"/>
      <c r="O26" s="149"/>
      <c r="P26" s="149"/>
      <c r="Q26" s="149"/>
      <c r="R26" s="149"/>
      <c r="S26" s="149"/>
      <c r="T26" s="149"/>
      <c r="U26" s="149"/>
      <c r="V26" s="79">
        <v>0</v>
      </c>
      <c r="W26" s="79">
        <v>0</v>
      </c>
      <c r="X26" s="79">
        <v>0</v>
      </c>
      <c r="Y26" s="79">
        <v>0</v>
      </c>
      <c r="Z26" s="60" t="s">
        <v>774</v>
      </c>
      <c r="AA26" s="58" t="str">
        <f>_xlfn.CONCAT("0x",BIN2HEX(MID(Z26,1,4),1),BIN2HEX(MID(Z26,6,4),1),BIN2HEX(MID(Z26,11,4),1))</f>
        <v>0x800</v>
      </c>
    </row>
    <row r="28" spans="2:27" ht="17" customHeight="1">
      <c r="B28" s="154" t="s">
        <v>352</v>
      </c>
      <c r="C28" s="154" t="s">
        <v>353</v>
      </c>
      <c r="D28" s="155" t="s">
        <v>354</v>
      </c>
      <c r="E28" s="155" t="s">
        <v>355</v>
      </c>
      <c r="F28" s="87" t="s">
        <v>744</v>
      </c>
      <c r="G28" s="87" t="s">
        <v>745</v>
      </c>
      <c r="H28" s="87" t="s">
        <v>746</v>
      </c>
      <c r="I28" s="87" t="s">
        <v>747</v>
      </c>
      <c r="J28" s="86" t="s">
        <v>757</v>
      </c>
      <c r="K28" s="86" t="s">
        <v>758</v>
      </c>
      <c r="L28" s="86" t="s">
        <v>759</v>
      </c>
      <c r="M28" s="86" t="s">
        <v>760</v>
      </c>
      <c r="N28" s="86" t="s">
        <v>761</v>
      </c>
      <c r="O28" s="86" t="s">
        <v>762</v>
      </c>
      <c r="P28" s="86" t="s">
        <v>763</v>
      </c>
      <c r="Q28" s="86" t="s">
        <v>764</v>
      </c>
      <c r="R28" s="86" t="s">
        <v>744</v>
      </c>
      <c r="S28" s="86" t="s">
        <v>745</v>
      </c>
      <c r="T28" s="86" t="s">
        <v>449</v>
      </c>
      <c r="U28" s="86" t="s">
        <v>450</v>
      </c>
      <c r="V28" s="150"/>
      <c r="W28" s="151"/>
      <c r="X28" s="151"/>
      <c r="Y28" s="152"/>
      <c r="Z28" s="155" t="s">
        <v>368</v>
      </c>
      <c r="AA28" s="155" t="s">
        <v>369</v>
      </c>
    </row>
    <row r="29" spans="2:27" ht="17" customHeight="1">
      <c r="B29" s="154"/>
      <c r="C29" s="154"/>
      <c r="D29" s="155"/>
      <c r="E29" s="155"/>
      <c r="F29" s="153" t="s">
        <v>748</v>
      </c>
      <c r="G29" s="153"/>
      <c r="H29" s="153"/>
      <c r="I29" s="153"/>
      <c r="J29" s="87" t="s">
        <v>749</v>
      </c>
      <c r="K29" s="87" t="s">
        <v>750</v>
      </c>
      <c r="L29" s="87" t="s">
        <v>751</v>
      </c>
      <c r="M29" s="87" t="s">
        <v>752</v>
      </c>
      <c r="N29" s="87" t="s">
        <v>753</v>
      </c>
      <c r="O29" s="87" t="s">
        <v>754</v>
      </c>
      <c r="P29" s="87" t="s">
        <v>362</v>
      </c>
      <c r="Q29" s="87" t="s">
        <v>363</v>
      </c>
      <c r="R29" s="87" t="s">
        <v>364</v>
      </c>
      <c r="S29" s="87" t="s">
        <v>365</v>
      </c>
      <c r="T29" s="87" t="s">
        <v>756</v>
      </c>
      <c r="U29" s="87" t="s">
        <v>755</v>
      </c>
      <c r="V29" s="87"/>
      <c r="W29" s="87"/>
      <c r="X29" s="87"/>
      <c r="Y29" s="87"/>
      <c r="Z29" s="155"/>
      <c r="AA29" s="155"/>
    </row>
    <row r="30" spans="2:27" ht="17" customHeight="1">
      <c r="B30" s="59" t="s">
        <v>189</v>
      </c>
      <c r="C30" s="156" t="s">
        <v>451</v>
      </c>
      <c r="D30" s="156" t="s">
        <v>371</v>
      </c>
      <c r="E30" s="156" t="s">
        <v>399</v>
      </c>
      <c r="F30" s="79" t="s">
        <v>735</v>
      </c>
      <c r="G30" s="79" t="s">
        <v>735</v>
      </c>
      <c r="H30" s="79" t="s">
        <v>735</v>
      </c>
      <c r="I30" s="79" t="s">
        <v>735</v>
      </c>
      <c r="J30" s="62" t="s">
        <v>373</v>
      </c>
      <c r="K30" s="62" t="s">
        <v>373</v>
      </c>
      <c r="L30" s="62" t="s">
        <v>373</v>
      </c>
      <c r="M30" s="62" t="s">
        <v>373</v>
      </c>
      <c r="N30" s="62" t="s">
        <v>373</v>
      </c>
      <c r="O30" s="62" t="s">
        <v>373</v>
      </c>
      <c r="P30" s="62" t="s">
        <v>373</v>
      </c>
      <c r="Q30" s="62" t="s">
        <v>373</v>
      </c>
      <c r="R30" s="149" t="s">
        <v>452</v>
      </c>
      <c r="S30" s="149"/>
      <c r="T30" s="149"/>
      <c r="U30" s="149"/>
      <c r="V30" s="80"/>
      <c r="W30" s="80"/>
      <c r="X30" s="80"/>
      <c r="Y30" s="80"/>
      <c r="Z30" s="60" t="s">
        <v>377</v>
      </c>
      <c r="AA30" s="58" t="str">
        <f>_xlfn.CONCAT("0x",BIN2HEX(MID(Z30,1,4),1),BIN2HEX(MID(Z30,6,4),1),BIN2HEX(MID(Z30,11,4),1))</f>
        <v>0x000</v>
      </c>
    </row>
    <row r="31" spans="2:27" ht="17" customHeight="1">
      <c r="B31" s="59" t="s">
        <v>192</v>
      </c>
      <c r="C31" s="157"/>
      <c r="D31" s="157"/>
      <c r="E31" s="157"/>
      <c r="F31" s="79" t="s">
        <v>735</v>
      </c>
      <c r="G31" s="79" t="s">
        <v>735</v>
      </c>
      <c r="H31" s="79" t="s">
        <v>735</v>
      </c>
      <c r="I31" s="79" t="s">
        <v>735</v>
      </c>
      <c r="J31" s="149" t="s">
        <v>453</v>
      </c>
      <c r="K31" s="149"/>
      <c r="L31" s="149"/>
      <c r="M31" s="149"/>
      <c r="N31" s="149"/>
      <c r="O31" s="149"/>
      <c r="P31" s="149"/>
      <c r="Q31" s="149"/>
      <c r="R31" s="149"/>
      <c r="S31" s="149"/>
      <c r="T31" s="149"/>
      <c r="U31" s="149"/>
      <c r="V31" s="80"/>
      <c r="W31" s="80"/>
      <c r="X31" s="80"/>
      <c r="Y31" s="80"/>
      <c r="Z31" s="60" t="s">
        <v>377</v>
      </c>
      <c r="AA31" s="58" t="str">
        <f>_xlfn.CONCAT("0x",BIN2HEX(MID(Z31,1,4),1),BIN2HEX(MID(Z31,6,4),1),BIN2HEX(MID(Z31,11,4),1))</f>
        <v>0x000</v>
      </c>
    </row>
    <row r="32" spans="2:27" ht="17" customHeight="1">
      <c r="B32" s="59" t="s">
        <v>613</v>
      </c>
      <c r="C32" s="156" t="s">
        <v>454</v>
      </c>
      <c r="D32" s="156" t="s">
        <v>371</v>
      </c>
      <c r="E32" s="156" t="s">
        <v>399</v>
      </c>
      <c r="F32" s="79" t="s">
        <v>735</v>
      </c>
      <c r="G32" s="79" t="s">
        <v>735</v>
      </c>
      <c r="H32" s="79" t="s">
        <v>735</v>
      </c>
      <c r="I32" s="79" t="s">
        <v>735</v>
      </c>
      <c r="J32" s="149" t="s">
        <v>455</v>
      </c>
      <c r="K32" s="149"/>
      <c r="L32" s="149"/>
      <c r="M32" s="149"/>
      <c r="N32" s="149"/>
      <c r="O32" s="149"/>
      <c r="P32" s="149"/>
      <c r="Q32" s="149"/>
      <c r="R32" s="149" t="s">
        <v>456</v>
      </c>
      <c r="S32" s="149"/>
      <c r="T32" s="149"/>
      <c r="U32" s="149"/>
      <c r="V32" s="80"/>
      <c r="W32" s="80"/>
      <c r="X32" s="80"/>
      <c r="Y32" s="80"/>
      <c r="Z32" s="60" t="s">
        <v>377</v>
      </c>
      <c r="AA32" s="58" t="str">
        <f>_xlfn.CONCAT("0x",BIN2HEX(MID(Z32,1,4),1),BIN2HEX(MID(Z32,6,4),1),BIN2HEX(MID(Z32,11,4),1))</f>
        <v>0x000</v>
      </c>
    </row>
    <row r="33" spans="2:27" ht="17" customHeight="1">
      <c r="B33" s="59" t="s">
        <v>672</v>
      </c>
      <c r="C33" s="157"/>
      <c r="D33" s="157"/>
      <c r="E33" s="157"/>
      <c r="F33" s="79" t="s">
        <v>735</v>
      </c>
      <c r="G33" s="79" t="s">
        <v>735</v>
      </c>
      <c r="H33" s="79" t="s">
        <v>735</v>
      </c>
      <c r="I33" s="79" t="s">
        <v>735</v>
      </c>
      <c r="J33" s="149" t="s">
        <v>456</v>
      </c>
      <c r="K33" s="149"/>
      <c r="L33" s="149"/>
      <c r="M33" s="149"/>
      <c r="N33" s="149" t="s">
        <v>457</v>
      </c>
      <c r="O33" s="149"/>
      <c r="P33" s="149"/>
      <c r="Q33" s="149"/>
      <c r="R33" s="149"/>
      <c r="S33" s="149"/>
      <c r="T33" s="149"/>
      <c r="U33" s="149"/>
      <c r="V33" s="80"/>
      <c r="W33" s="80"/>
      <c r="X33" s="80"/>
      <c r="Y33" s="80"/>
      <c r="Z33" s="60" t="s">
        <v>377</v>
      </c>
      <c r="AA33" s="58" t="str">
        <f>_xlfn.CONCAT("0x",BIN2HEX(MID(Z33,1,4),1),BIN2HEX(MID(Z33,6,4),1),BIN2HEX(MID(Z33,11,4),1))</f>
        <v>0x000</v>
      </c>
    </row>
  </sheetData>
  <mergeCells count="49">
    <mergeCell ref="D30:D31"/>
    <mergeCell ref="E30:E31"/>
    <mergeCell ref="C30:C31"/>
    <mergeCell ref="J26:U26"/>
    <mergeCell ref="J32:Q32"/>
    <mergeCell ref="R32:U32"/>
    <mergeCell ref="J33:M33"/>
    <mergeCell ref="N33:U33"/>
    <mergeCell ref="C32:C33"/>
    <mergeCell ref="D32:D33"/>
    <mergeCell ref="E32:E33"/>
    <mergeCell ref="Z28:Z29"/>
    <mergeCell ref="AA28:AA29"/>
    <mergeCell ref="F29:I29"/>
    <mergeCell ref="R30:U30"/>
    <mergeCell ref="J31:U31"/>
    <mergeCell ref="V28:Y28"/>
    <mergeCell ref="F3:I3"/>
    <mergeCell ref="B28:B29"/>
    <mergeCell ref="C28:C29"/>
    <mergeCell ref="D28:D29"/>
    <mergeCell ref="E28:E29"/>
    <mergeCell ref="O4:Q4"/>
    <mergeCell ref="R4:S4"/>
    <mergeCell ref="T4:U4"/>
    <mergeCell ref="L6:U6"/>
    <mergeCell ref="L10:U10"/>
    <mergeCell ref="J21:U21"/>
    <mergeCell ref="L11:U11"/>
    <mergeCell ref="J12:U12"/>
    <mergeCell ref="J13:U13"/>
    <mergeCell ref="J14:U14"/>
    <mergeCell ref="J16:U16"/>
    <mergeCell ref="J22:U22"/>
    <mergeCell ref="J23:U23"/>
    <mergeCell ref="J24:U24"/>
    <mergeCell ref="J25:U25"/>
    <mergeCell ref="V2:Y2"/>
    <mergeCell ref="R9:S9"/>
    <mergeCell ref="T9:U9"/>
    <mergeCell ref="L7:U7"/>
    <mergeCell ref="R8:U8"/>
    <mergeCell ref="J15:M15"/>
    <mergeCell ref="N15:Q15"/>
    <mergeCell ref="R15:U15"/>
    <mergeCell ref="J17:U17"/>
    <mergeCell ref="J18:U18"/>
    <mergeCell ref="J19:U19"/>
    <mergeCell ref="J20:U20"/>
  </mergeCells>
  <phoneticPr fontId="2" type="noConversion"/>
  <conditionalFormatting sqref="R8">
    <cfRule type="cellIs" dxfId="3" priority="3" operator="equal">
      <formula>"RSVD"</formula>
    </cfRule>
  </conditionalFormatting>
  <conditionalFormatting sqref="R10">
    <cfRule type="cellIs" dxfId="2" priority="4" operator="equal">
      <formula>"RSVD"</formula>
    </cfRule>
  </conditionalFormatting>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2D311-CD70-4DE4-916C-50A3B3463164}">
  <dimension ref="B3:Q199"/>
  <sheetViews>
    <sheetView tabSelected="1" topLeftCell="A117" zoomScaleNormal="100" workbookViewId="0">
      <selection activeCell="C122" sqref="C122"/>
    </sheetView>
  </sheetViews>
  <sheetFormatPr defaultColWidth="9" defaultRowHeight="16.899999999999999"/>
  <cols>
    <col min="1" max="1" width="9" style="55"/>
    <col min="2" max="2" width="12.5625" style="55" customWidth="1"/>
    <col min="3" max="3" width="10.5625" style="55" customWidth="1"/>
    <col min="4" max="4" width="5.5625" style="55" customWidth="1"/>
    <col min="5" max="17" width="10.5625" style="55" customWidth="1"/>
    <col min="18" max="16384" width="9" style="55"/>
  </cols>
  <sheetData>
    <row r="3" spans="2:17" ht="17.25" thickBot="1"/>
    <row r="4" spans="2:17">
      <c r="E4" s="171" t="s">
        <v>458</v>
      </c>
      <c r="F4" s="171"/>
      <c r="G4" s="171"/>
      <c r="H4" s="171"/>
      <c r="I4" s="171"/>
      <c r="J4" s="171"/>
      <c r="K4" s="171"/>
      <c r="L4" s="171"/>
      <c r="M4" s="171"/>
      <c r="N4" s="171"/>
      <c r="O4" s="171"/>
      <c r="P4" s="171"/>
      <c r="Q4" s="172"/>
    </row>
    <row r="5" spans="2:17">
      <c r="E5" s="173" t="s">
        <v>459</v>
      </c>
      <c r="F5" s="173"/>
      <c r="G5" s="173"/>
      <c r="H5" s="173"/>
      <c r="I5" s="173"/>
      <c r="J5" s="173"/>
      <c r="K5" s="173"/>
      <c r="L5" s="173"/>
      <c r="M5" s="173"/>
      <c r="N5" s="173"/>
      <c r="O5" s="173"/>
      <c r="P5" s="173"/>
      <c r="Q5" s="174"/>
    </row>
    <row r="6" spans="2:17" ht="17.25" thickBot="1">
      <c r="E6" s="175" t="s">
        <v>460</v>
      </c>
      <c r="F6" s="175"/>
      <c r="G6" s="175"/>
      <c r="H6" s="175"/>
      <c r="I6" s="175"/>
      <c r="J6" s="175"/>
      <c r="K6" s="175"/>
      <c r="L6" s="175"/>
      <c r="M6" s="175"/>
      <c r="N6" s="175"/>
      <c r="O6" s="175"/>
      <c r="P6" s="175"/>
      <c r="Q6" s="176"/>
    </row>
    <row r="7" spans="2:17">
      <c r="E7" s="49"/>
      <c r="F7" s="49"/>
      <c r="G7" s="49"/>
      <c r="H7" s="49"/>
      <c r="I7" s="49"/>
      <c r="J7" s="49"/>
      <c r="K7" s="49"/>
      <c r="L7" s="49"/>
      <c r="M7" s="49"/>
      <c r="N7" s="49"/>
      <c r="O7" s="49"/>
      <c r="P7" s="49"/>
      <c r="Q7" s="49"/>
    </row>
    <row r="8" spans="2:17" ht="17.25" thickBot="1"/>
    <row r="9" spans="2:17">
      <c r="E9" s="171" t="s">
        <v>461</v>
      </c>
      <c r="F9" s="171"/>
      <c r="G9" s="171"/>
      <c r="H9" s="171"/>
      <c r="I9" s="171"/>
      <c r="J9" s="171"/>
      <c r="K9" s="171"/>
      <c r="L9" s="171"/>
      <c r="M9" s="171"/>
      <c r="N9" s="171"/>
      <c r="O9" s="171"/>
      <c r="P9" s="171"/>
      <c r="Q9" s="172"/>
    </row>
    <row r="10" spans="2:17">
      <c r="E10" s="173" t="s">
        <v>462</v>
      </c>
      <c r="F10" s="173"/>
      <c r="G10" s="173"/>
      <c r="H10" s="173"/>
      <c r="I10" s="173"/>
      <c r="J10" s="173"/>
      <c r="K10" s="173"/>
      <c r="L10" s="173"/>
      <c r="M10" s="173"/>
      <c r="N10" s="173"/>
      <c r="O10" s="173"/>
      <c r="P10" s="173"/>
      <c r="Q10" s="174"/>
    </row>
    <row r="11" spans="2:17">
      <c r="E11" s="173" t="s">
        <v>463</v>
      </c>
      <c r="F11" s="173"/>
      <c r="G11" s="173"/>
      <c r="H11" s="173"/>
      <c r="I11" s="173"/>
      <c r="J11" s="173"/>
      <c r="K11" s="173"/>
      <c r="L11" s="173"/>
      <c r="M11" s="173"/>
      <c r="N11" s="173"/>
      <c r="O11" s="173"/>
      <c r="P11" s="173"/>
      <c r="Q11" s="174"/>
    </row>
    <row r="12" spans="2:17" ht="17.25" thickBot="1">
      <c r="E12" s="175" t="s">
        <v>464</v>
      </c>
      <c r="F12" s="175"/>
      <c r="G12" s="175"/>
      <c r="H12" s="175"/>
      <c r="I12" s="175"/>
      <c r="J12" s="175"/>
      <c r="K12" s="175"/>
      <c r="L12" s="175"/>
      <c r="M12" s="175"/>
      <c r="N12" s="175"/>
      <c r="O12" s="175"/>
      <c r="P12" s="175"/>
      <c r="Q12" s="176"/>
    </row>
    <row r="13" spans="2:17">
      <c r="E13" s="49"/>
      <c r="F13" s="49"/>
      <c r="G13" s="49"/>
      <c r="H13" s="49"/>
      <c r="I13" s="49"/>
      <c r="J13" s="49"/>
      <c r="K13" s="49"/>
      <c r="L13" s="49"/>
      <c r="M13" s="49"/>
      <c r="N13" s="49"/>
      <c r="O13" s="49"/>
      <c r="P13" s="49"/>
      <c r="Q13" s="49"/>
    </row>
    <row r="16" spans="2:17">
      <c r="B16" s="50" t="s">
        <v>465</v>
      </c>
      <c r="C16" s="50" t="s">
        <v>466</v>
      </c>
      <c r="E16" s="51"/>
      <c r="F16" s="51" t="s">
        <v>467</v>
      </c>
      <c r="G16" s="51" t="s">
        <v>468</v>
      </c>
      <c r="H16" s="51" t="s">
        <v>469</v>
      </c>
      <c r="I16" s="51" t="s">
        <v>470</v>
      </c>
      <c r="J16" s="51" t="s">
        <v>471</v>
      </c>
      <c r="K16" s="51" t="s">
        <v>472</v>
      </c>
      <c r="L16" s="51" t="s">
        <v>473</v>
      </c>
      <c r="M16" s="51" t="s">
        <v>474</v>
      </c>
      <c r="N16" s="51" t="s">
        <v>475</v>
      </c>
      <c r="O16" s="51" t="s">
        <v>476</v>
      </c>
      <c r="P16" s="51" t="s">
        <v>477</v>
      </c>
      <c r="Q16" s="51" t="s">
        <v>478</v>
      </c>
    </row>
    <row r="17" spans="2:17">
      <c r="B17" s="52" t="s">
        <v>479</v>
      </c>
      <c r="C17" s="52" t="s">
        <v>161</v>
      </c>
      <c r="E17" s="51" t="s">
        <v>480</v>
      </c>
      <c r="F17" s="74" t="s">
        <v>614</v>
      </c>
      <c r="G17" s="74" t="s">
        <v>614</v>
      </c>
      <c r="H17" s="74" t="s">
        <v>614</v>
      </c>
      <c r="I17" s="74" t="s">
        <v>614</v>
      </c>
      <c r="J17" s="74" t="s">
        <v>614</v>
      </c>
      <c r="K17" s="158" t="s">
        <v>374</v>
      </c>
      <c r="L17" s="158"/>
      <c r="M17" s="158"/>
      <c r="N17" s="158" t="s">
        <v>375</v>
      </c>
      <c r="O17" s="158"/>
      <c r="P17" s="158" t="s">
        <v>376</v>
      </c>
      <c r="Q17" s="164"/>
    </row>
    <row r="18" spans="2:17">
      <c r="E18" s="51" t="s">
        <v>481</v>
      </c>
      <c r="F18" s="48"/>
      <c r="G18" s="48"/>
      <c r="H18" s="48"/>
      <c r="I18" s="48"/>
      <c r="J18" s="48"/>
      <c r="K18" s="158" t="s">
        <v>482</v>
      </c>
      <c r="L18" s="158"/>
      <c r="M18" s="158"/>
      <c r="N18" s="158" t="s">
        <v>482</v>
      </c>
      <c r="O18" s="158"/>
      <c r="P18" s="158" t="s">
        <v>482</v>
      </c>
      <c r="Q18" s="164"/>
    </row>
    <row r="19" spans="2:17">
      <c r="E19" s="51" t="s">
        <v>458</v>
      </c>
      <c r="F19" s="48"/>
      <c r="G19" s="48"/>
      <c r="H19" s="48"/>
      <c r="I19" s="48"/>
      <c r="J19" s="48"/>
      <c r="K19" s="158" t="s">
        <v>483</v>
      </c>
      <c r="L19" s="158"/>
      <c r="M19" s="158"/>
      <c r="N19" s="158" t="s">
        <v>483</v>
      </c>
      <c r="O19" s="158"/>
      <c r="P19" s="158" t="s">
        <v>483</v>
      </c>
      <c r="Q19" s="164"/>
    </row>
    <row r="20" spans="2:17">
      <c r="E20" s="51" t="s">
        <v>461</v>
      </c>
      <c r="F20" s="48"/>
      <c r="G20" s="48"/>
      <c r="H20" s="48"/>
      <c r="I20" s="48"/>
      <c r="J20" s="48"/>
      <c r="K20" s="158" t="s">
        <v>484</v>
      </c>
      <c r="L20" s="158"/>
      <c r="M20" s="158"/>
      <c r="N20" s="158" t="s">
        <v>484</v>
      </c>
      <c r="O20" s="158"/>
      <c r="P20" s="158" t="s">
        <v>484</v>
      </c>
      <c r="Q20" s="164"/>
    </row>
    <row r="21" spans="2:17" ht="234" customHeight="1">
      <c r="E21" s="51" t="s">
        <v>485</v>
      </c>
      <c r="F21" s="165" t="s">
        <v>843</v>
      </c>
      <c r="G21" s="165"/>
      <c r="H21" s="165"/>
      <c r="I21" s="165"/>
      <c r="J21" s="165"/>
      <c r="K21" s="165"/>
      <c r="L21" s="165"/>
      <c r="M21" s="165"/>
      <c r="N21" s="165"/>
      <c r="O21" s="165"/>
      <c r="P21" s="165"/>
      <c r="Q21" s="165"/>
    </row>
    <row r="23" spans="2:17">
      <c r="B23" s="50" t="s">
        <v>465</v>
      </c>
      <c r="C23" s="50" t="s">
        <v>466</v>
      </c>
      <c r="E23" s="51"/>
      <c r="F23" s="51" t="s">
        <v>467</v>
      </c>
      <c r="G23" s="51" t="s">
        <v>468</v>
      </c>
      <c r="H23" s="51" t="s">
        <v>469</v>
      </c>
      <c r="I23" s="51" t="s">
        <v>470</v>
      </c>
      <c r="J23" s="51" t="s">
        <v>471</v>
      </c>
      <c r="K23" s="51" t="s">
        <v>472</v>
      </c>
      <c r="L23" s="51" t="s">
        <v>473</v>
      </c>
      <c r="M23" s="51" t="s">
        <v>474</v>
      </c>
      <c r="N23" s="51" t="s">
        <v>475</v>
      </c>
      <c r="O23" s="51" t="s">
        <v>476</v>
      </c>
      <c r="P23" s="51" t="s">
        <v>477</v>
      </c>
      <c r="Q23" s="51" t="s">
        <v>478</v>
      </c>
    </row>
    <row r="24" spans="2:17">
      <c r="B24" s="52" t="s">
        <v>486</v>
      </c>
      <c r="C24" s="52" t="s">
        <v>167</v>
      </c>
      <c r="E24" s="51" t="s">
        <v>480</v>
      </c>
      <c r="F24" s="48" t="s">
        <v>487</v>
      </c>
      <c r="G24" s="48" t="s">
        <v>380</v>
      </c>
      <c r="H24" s="48" t="s">
        <v>381</v>
      </c>
      <c r="I24" s="48" t="s">
        <v>382</v>
      </c>
      <c r="J24" s="48" t="s">
        <v>383</v>
      </c>
      <c r="K24" s="48" t="s">
        <v>384</v>
      </c>
      <c r="L24" s="48" t="s">
        <v>385</v>
      </c>
      <c r="M24" s="48" t="s">
        <v>386</v>
      </c>
      <c r="N24" s="48" t="s">
        <v>387</v>
      </c>
      <c r="O24" s="48" t="s">
        <v>388</v>
      </c>
      <c r="P24" s="48" t="s">
        <v>389</v>
      </c>
      <c r="Q24" s="48" t="s">
        <v>390</v>
      </c>
    </row>
    <row r="25" spans="2:17">
      <c r="E25" s="51" t="s">
        <v>481</v>
      </c>
      <c r="F25" s="48">
        <v>0</v>
      </c>
      <c r="G25" s="48">
        <v>0</v>
      </c>
      <c r="H25" s="48">
        <v>0</v>
      </c>
      <c r="I25" s="48">
        <v>0</v>
      </c>
      <c r="J25" s="48">
        <v>0</v>
      </c>
      <c r="K25" s="48">
        <v>0</v>
      </c>
      <c r="L25" s="48">
        <v>0</v>
      </c>
      <c r="M25" s="48">
        <v>0</v>
      </c>
      <c r="N25" s="48">
        <v>0</v>
      </c>
      <c r="O25" s="48">
        <v>0</v>
      </c>
      <c r="P25" s="48">
        <v>0</v>
      </c>
      <c r="Q25" s="48">
        <v>0</v>
      </c>
    </row>
    <row r="26" spans="2:17">
      <c r="E26" s="51" t="s">
        <v>458</v>
      </c>
      <c r="F26" s="48" t="s">
        <v>483</v>
      </c>
      <c r="G26" s="48" t="s">
        <v>483</v>
      </c>
      <c r="H26" s="48" t="s">
        <v>483</v>
      </c>
      <c r="I26" s="48" t="s">
        <v>483</v>
      </c>
      <c r="J26" s="48" t="s">
        <v>483</v>
      </c>
      <c r="K26" s="48" t="s">
        <v>483</v>
      </c>
      <c r="L26" s="48" t="s">
        <v>483</v>
      </c>
      <c r="M26" s="48" t="s">
        <v>483</v>
      </c>
      <c r="N26" s="48" t="s">
        <v>483</v>
      </c>
      <c r="O26" s="48" t="s">
        <v>483</v>
      </c>
      <c r="P26" s="48" t="s">
        <v>483</v>
      </c>
      <c r="Q26" s="48" t="s">
        <v>483</v>
      </c>
    </row>
    <row r="27" spans="2:17">
      <c r="E27" s="51" t="s">
        <v>461</v>
      </c>
      <c r="F27" s="48" t="s">
        <v>488</v>
      </c>
      <c r="G27" s="48" t="s">
        <v>488</v>
      </c>
      <c r="H27" s="48" t="s">
        <v>488</v>
      </c>
      <c r="I27" s="48" t="s">
        <v>488</v>
      </c>
      <c r="J27" s="48" t="s">
        <v>488</v>
      </c>
      <c r="K27" s="48" t="s">
        <v>488</v>
      </c>
      <c r="L27" s="48" t="s">
        <v>488</v>
      </c>
      <c r="M27" s="48" t="s">
        <v>488</v>
      </c>
      <c r="N27" s="48" t="s">
        <v>488</v>
      </c>
      <c r="O27" s="48" t="s">
        <v>488</v>
      </c>
      <c r="P27" s="48" t="s">
        <v>488</v>
      </c>
      <c r="Q27" s="48" t="s">
        <v>488</v>
      </c>
    </row>
    <row r="28" spans="2:17" ht="409.5" customHeight="1">
      <c r="E28" s="51" t="s">
        <v>485</v>
      </c>
      <c r="F28" s="170" t="s">
        <v>847</v>
      </c>
      <c r="G28" s="170"/>
      <c r="H28" s="170"/>
      <c r="I28" s="170"/>
      <c r="J28" s="170"/>
      <c r="K28" s="170"/>
      <c r="L28" s="170"/>
      <c r="M28" s="170"/>
      <c r="N28" s="170"/>
      <c r="O28" s="170"/>
      <c r="P28" s="170"/>
      <c r="Q28" s="165"/>
    </row>
    <row r="30" spans="2:17">
      <c r="B30" s="50" t="s">
        <v>465</v>
      </c>
      <c r="C30" s="50" t="s">
        <v>466</v>
      </c>
      <c r="E30" s="51"/>
      <c r="F30" s="51" t="s">
        <v>467</v>
      </c>
      <c r="G30" s="51" t="s">
        <v>468</v>
      </c>
      <c r="H30" s="51" t="s">
        <v>469</v>
      </c>
      <c r="I30" s="51" t="s">
        <v>470</v>
      </c>
      <c r="J30" s="51" t="s">
        <v>471</v>
      </c>
      <c r="K30" s="51" t="s">
        <v>472</v>
      </c>
      <c r="L30" s="51" t="s">
        <v>473</v>
      </c>
      <c r="M30" s="51" t="s">
        <v>474</v>
      </c>
      <c r="N30" s="51" t="s">
        <v>475</v>
      </c>
      <c r="O30" s="51" t="s">
        <v>476</v>
      </c>
      <c r="P30" s="51" t="s">
        <v>477</v>
      </c>
      <c r="Q30" s="51" t="s">
        <v>478</v>
      </c>
    </row>
    <row r="31" spans="2:17">
      <c r="B31" s="52" t="s">
        <v>489</v>
      </c>
      <c r="C31" s="52" t="s">
        <v>172</v>
      </c>
      <c r="E31" s="51" t="s">
        <v>480</v>
      </c>
      <c r="F31" s="74" t="s">
        <v>614</v>
      </c>
      <c r="G31" s="74" t="s">
        <v>614</v>
      </c>
      <c r="H31" s="164" t="s">
        <v>393</v>
      </c>
      <c r="I31" s="164"/>
      <c r="J31" s="164"/>
      <c r="K31" s="164"/>
      <c r="L31" s="164"/>
      <c r="M31" s="164"/>
      <c r="N31" s="164"/>
      <c r="O31" s="164"/>
      <c r="P31" s="164"/>
      <c r="Q31" s="164"/>
    </row>
    <row r="32" spans="2:17">
      <c r="E32" s="51" t="s">
        <v>481</v>
      </c>
      <c r="F32" s="48"/>
      <c r="G32" s="48"/>
      <c r="H32" s="164" t="s">
        <v>490</v>
      </c>
      <c r="I32" s="164"/>
      <c r="J32" s="164"/>
      <c r="K32" s="164"/>
      <c r="L32" s="164"/>
      <c r="M32" s="164"/>
      <c r="N32" s="164"/>
      <c r="O32" s="164"/>
      <c r="P32" s="164"/>
      <c r="Q32" s="164"/>
    </row>
    <row r="33" spans="2:17">
      <c r="E33" s="51" t="s">
        <v>458</v>
      </c>
      <c r="F33" s="48"/>
      <c r="G33" s="48"/>
      <c r="H33" s="164" t="s">
        <v>483</v>
      </c>
      <c r="I33" s="164"/>
      <c r="J33" s="164"/>
      <c r="K33" s="164"/>
      <c r="L33" s="164"/>
      <c r="M33" s="164"/>
      <c r="N33" s="164"/>
      <c r="O33" s="164"/>
      <c r="P33" s="164"/>
      <c r="Q33" s="164"/>
    </row>
    <row r="34" spans="2:17">
      <c r="E34" s="51" t="s">
        <v>461</v>
      </c>
      <c r="F34" s="48"/>
      <c r="G34" s="48"/>
      <c r="H34" s="164" t="s">
        <v>484</v>
      </c>
      <c r="I34" s="164"/>
      <c r="J34" s="164"/>
      <c r="K34" s="164"/>
      <c r="L34" s="164"/>
      <c r="M34" s="164"/>
      <c r="N34" s="164"/>
      <c r="O34" s="164"/>
      <c r="P34" s="164"/>
      <c r="Q34" s="164"/>
    </row>
    <row r="35" spans="2:17">
      <c r="E35" s="51" t="s">
        <v>485</v>
      </c>
      <c r="F35" s="161" t="s">
        <v>657</v>
      </c>
      <c r="G35" s="161"/>
      <c r="H35" s="161"/>
      <c r="I35" s="161"/>
      <c r="J35" s="161"/>
      <c r="K35" s="161"/>
      <c r="L35" s="161"/>
      <c r="M35" s="161"/>
      <c r="N35" s="161"/>
      <c r="O35" s="161"/>
      <c r="P35" s="161"/>
      <c r="Q35" s="161"/>
    </row>
    <row r="37" spans="2:17">
      <c r="B37" s="50" t="s">
        <v>465</v>
      </c>
      <c r="C37" s="50" t="s">
        <v>466</v>
      </c>
      <c r="E37" s="51"/>
      <c r="F37" s="51" t="s">
        <v>467</v>
      </c>
      <c r="G37" s="51" t="s">
        <v>468</v>
      </c>
      <c r="H37" s="51" t="s">
        <v>469</v>
      </c>
      <c r="I37" s="51" t="s">
        <v>470</v>
      </c>
      <c r="J37" s="51" t="s">
        <v>471</v>
      </c>
      <c r="K37" s="51" t="s">
        <v>472</v>
      </c>
      <c r="L37" s="51" t="s">
        <v>473</v>
      </c>
      <c r="M37" s="51" t="s">
        <v>474</v>
      </c>
      <c r="N37" s="51" t="s">
        <v>475</v>
      </c>
      <c r="O37" s="51" t="s">
        <v>476</v>
      </c>
      <c r="P37" s="51" t="s">
        <v>477</v>
      </c>
      <c r="Q37" s="51" t="s">
        <v>478</v>
      </c>
    </row>
    <row r="38" spans="2:17">
      <c r="B38" s="52" t="s">
        <v>491</v>
      </c>
      <c r="C38" s="52" t="s">
        <v>179</v>
      </c>
      <c r="E38" s="51" t="s">
        <v>480</v>
      </c>
      <c r="F38" s="74" t="s">
        <v>614</v>
      </c>
      <c r="G38" s="74" t="s">
        <v>614</v>
      </c>
      <c r="H38" s="164" t="s">
        <v>396</v>
      </c>
      <c r="I38" s="164"/>
      <c r="J38" s="164"/>
      <c r="K38" s="164"/>
      <c r="L38" s="164"/>
      <c r="M38" s="164"/>
      <c r="N38" s="164"/>
      <c r="O38" s="164"/>
      <c r="P38" s="164"/>
      <c r="Q38" s="164"/>
    </row>
    <row r="39" spans="2:17">
      <c r="E39" s="51" t="s">
        <v>481</v>
      </c>
      <c r="F39" s="48"/>
      <c r="G39" s="48"/>
      <c r="H39" s="164" t="s">
        <v>490</v>
      </c>
      <c r="I39" s="164"/>
      <c r="J39" s="164"/>
      <c r="K39" s="164"/>
      <c r="L39" s="164"/>
      <c r="M39" s="164"/>
      <c r="N39" s="164"/>
      <c r="O39" s="164"/>
      <c r="P39" s="164"/>
      <c r="Q39" s="164"/>
    </row>
    <row r="40" spans="2:17">
      <c r="E40" s="51" t="s">
        <v>458</v>
      </c>
      <c r="F40" s="48"/>
      <c r="G40" s="48"/>
      <c r="H40" s="164" t="s">
        <v>483</v>
      </c>
      <c r="I40" s="164"/>
      <c r="J40" s="164"/>
      <c r="K40" s="164"/>
      <c r="L40" s="164"/>
      <c r="M40" s="164"/>
      <c r="N40" s="164"/>
      <c r="O40" s="164"/>
      <c r="P40" s="164"/>
      <c r="Q40" s="164"/>
    </row>
    <row r="41" spans="2:17">
      <c r="E41" s="51" t="s">
        <v>461</v>
      </c>
      <c r="F41" s="48"/>
      <c r="G41" s="48"/>
      <c r="H41" s="164" t="s">
        <v>484</v>
      </c>
      <c r="I41" s="164"/>
      <c r="J41" s="164"/>
      <c r="K41" s="164"/>
      <c r="L41" s="164"/>
      <c r="M41" s="164"/>
      <c r="N41" s="164"/>
      <c r="O41" s="164"/>
      <c r="P41" s="164"/>
      <c r="Q41" s="164"/>
    </row>
    <row r="42" spans="2:17">
      <c r="E42" s="51" t="s">
        <v>485</v>
      </c>
      <c r="F42" s="161" t="s">
        <v>658</v>
      </c>
      <c r="G42" s="161"/>
      <c r="H42" s="161"/>
      <c r="I42" s="161"/>
      <c r="J42" s="161"/>
      <c r="K42" s="161"/>
      <c r="L42" s="161"/>
      <c r="M42" s="161"/>
      <c r="N42" s="161"/>
      <c r="O42" s="161"/>
      <c r="P42" s="161"/>
      <c r="Q42" s="161"/>
    </row>
    <row r="44" spans="2:17">
      <c r="B44" s="50" t="s">
        <v>465</v>
      </c>
      <c r="C44" s="50" t="s">
        <v>466</v>
      </c>
      <c r="E44" s="51"/>
      <c r="F44" s="51" t="s">
        <v>467</v>
      </c>
      <c r="G44" s="51" t="s">
        <v>468</v>
      </c>
      <c r="H44" s="51" t="s">
        <v>469</v>
      </c>
      <c r="I44" s="51" t="s">
        <v>470</v>
      </c>
      <c r="J44" s="51" t="s">
        <v>471</v>
      </c>
      <c r="K44" s="51" t="s">
        <v>472</v>
      </c>
      <c r="L44" s="51" t="s">
        <v>473</v>
      </c>
      <c r="M44" s="51" t="s">
        <v>474</v>
      </c>
      <c r="N44" s="51" t="s">
        <v>475</v>
      </c>
      <c r="O44" s="51" t="s">
        <v>476</v>
      </c>
      <c r="P44" s="51" t="s">
        <v>477</v>
      </c>
      <c r="Q44" s="51" t="s">
        <v>478</v>
      </c>
    </row>
    <row r="45" spans="2:17" ht="16.5" customHeight="1">
      <c r="B45" s="52" t="s">
        <v>492</v>
      </c>
      <c r="C45" s="52" t="s">
        <v>183</v>
      </c>
      <c r="E45" s="51" t="s">
        <v>480</v>
      </c>
      <c r="F45" s="48" t="s">
        <v>400</v>
      </c>
      <c r="G45" s="48" t="s">
        <v>401</v>
      </c>
      <c r="H45" s="48" t="s">
        <v>402</v>
      </c>
      <c r="I45" s="48" t="s">
        <v>403</v>
      </c>
      <c r="J45" s="48" t="s">
        <v>404</v>
      </c>
      <c r="K45" s="48" t="s">
        <v>405</v>
      </c>
      <c r="L45" s="48" t="s">
        <v>733</v>
      </c>
      <c r="M45" s="48" t="s">
        <v>407</v>
      </c>
      <c r="N45" s="164" t="s">
        <v>665</v>
      </c>
      <c r="O45" s="164"/>
      <c r="P45" s="164"/>
      <c r="Q45" s="164"/>
    </row>
    <row r="46" spans="2:17">
      <c r="E46" s="51" t="s">
        <v>481</v>
      </c>
      <c r="F46" s="48">
        <v>0</v>
      </c>
      <c r="G46" s="48">
        <v>0</v>
      </c>
      <c r="H46" s="48">
        <v>0</v>
      </c>
      <c r="I46" s="48">
        <v>0</v>
      </c>
      <c r="J46" s="48">
        <v>0</v>
      </c>
      <c r="K46" s="48">
        <v>0</v>
      </c>
      <c r="L46" s="48">
        <v>0</v>
      </c>
      <c r="M46" s="48">
        <v>0</v>
      </c>
      <c r="N46" s="164" t="s">
        <v>482</v>
      </c>
      <c r="O46" s="164"/>
      <c r="P46" s="164"/>
      <c r="Q46" s="164"/>
    </row>
    <row r="47" spans="2:17">
      <c r="E47" s="51" t="s">
        <v>458</v>
      </c>
      <c r="F47" s="48" t="s">
        <v>483</v>
      </c>
      <c r="G47" s="48" t="s">
        <v>483</v>
      </c>
      <c r="H47" s="48" t="s">
        <v>483</v>
      </c>
      <c r="I47" s="48" t="s">
        <v>483</v>
      </c>
      <c r="J47" s="48" t="s">
        <v>483</v>
      </c>
      <c r="K47" s="48" t="s">
        <v>483</v>
      </c>
      <c r="L47" s="48" t="s">
        <v>483</v>
      </c>
      <c r="M47" s="48" t="s">
        <v>483</v>
      </c>
      <c r="N47" s="164" t="s">
        <v>483</v>
      </c>
      <c r="O47" s="164"/>
      <c r="P47" s="164"/>
      <c r="Q47" s="164"/>
    </row>
    <row r="48" spans="2:17">
      <c r="E48" s="51" t="s">
        <v>461</v>
      </c>
      <c r="F48" s="48" t="s">
        <v>829</v>
      </c>
      <c r="G48" s="48" t="s">
        <v>321</v>
      </c>
      <c r="H48" s="48" t="s">
        <v>321</v>
      </c>
      <c r="I48" s="48" t="s">
        <v>321</v>
      </c>
      <c r="J48" s="48" t="s">
        <v>321</v>
      </c>
      <c r="K48" s="48" t="s">
        <v>321</v>
      </c>
      <c r="L48" s="48" t="s">
        <v>321</v>
      </c>
      <c r="M48" s="48" t="s">
        <v>321</v>
      </c>
      <c r="N48" s="164" t="s">
        <v>321</v>
      </c>
      <c r="O48" s="164"/>
      <c r="P48" s="164"/>
      <c r="Q48" s="164"/>
    </row>
    <row r="49" spans="2:17" ht="409.5" customHeight="1">
      <c r="E49" s="51" t="s">
        <v>485</v>
      </c>
      <c r="F49" s="170" t="s">
        <v>845</v>
      </c>
      <c r="G49" s="170"/>
      <c r="H49" s="170"/>
      <c r="I49" s="170"/>
      <c r="J49" s="170"/>
      <c r="K49" s="170"/>
      <c r="L49" s="170"/>
      <c r="M49" s="170"/>
      <c r="N49" s="170"/>
      <c r="O49" s="170"/>
      <c r="P49" s="170"/>
      <c r="Q49" s="165"/>
    </row>
    <row r="51" spans="2:17" ht="16.5" customHeight="1">
      <c r="B51" s="50" t="s">
        <v>465</v>
      </c>
      <c r="C51" s="50" t="s">
        <v>466</v>
      </c>
      <c r="E51" s="51"/>
      <c r="F51" s="51" t="s">
        <v>467</v>
      </c>
      <c r="G51" s="51" t="s">
        <v>468</v>
      </c>
      <c r="H51" s="51" t="s">
        <v>469</v>
      </c>
      <c r="I51" s="51" t="s">
        <v>470</v>
      </c>
      <c r="J51" s="51" t="s">
        <v>471</v>
      </c>
      <c r="K51" s="51" t="s">
        <v>472</v>
      </c>
      <c r="L51" s="51" t="s">
        <v>473</v>
      </c>
      <c r="M51" s="51" t="s">
        <v>474</v>
      </c>
      <c r="N51" s="51" t="s">
        <v>475</v>
      </c>
      <c r="O51" s="51" t="s">
        <v>476</v>
      </c>
      <c r="P51" s="51" t="s">
        <v>477</v>
      </c>
      <c r="Q51" s="51" t="s">
        <v>478</v>
      </c>
    </row>
    <row r="52" spans="2:17" ht="16.5" customHeight="1">
      <c r="B52" s="52" t="s">
        <v>493</v>
      </c>
      <c r="C52" s="52" t="s">
        <v>186</v>
      </c>
      <c r="E52" s="51" t="s">
        <v>480</v>
      </c>
      <c r="F52" s="74" t="s">
        <v>614</v>
      </c>
      <c r="G52" s="74" t="s">
        <v>614</v>
      </c>
      <c r="H52" s="74" t="s">
        <v>614</v>
      </c>
      <c r="I52" s="74" t="s">
        <v>614</v>
      </c>
      <c r="J52" s="74" t="s">
        <v>614</v>
      </c>
      <c r="K52" s="48" t="s">
        <v>406</v>
      </c>
      <c r="L52" s="48" t="s">
        <v>411</v>
      </c>
      <c r="M52" s="48" t="s">
        <v>671</v>
      </c>
      <c r="N52" s="158" t="s">
        <v>412</v>
      </c>
      <c r="O52" s="160"/>
      <c r="P52" s="158" t="s">
        <v>413</v>
      </c>
      <c r="Q52" s="160"/>
    </row>
    <row r="53" spans="2:17" ht="16.5" customHeight="1">
      <c r="E53" s="51" t="s">
        <v>481</v>
      </c>
      <c r="F53" s="48"/>
      <c r="G53" s="48"/>
      <c r="H53" s="48"/>
      <c r="I53" s="48"/>
      <c r="J53" s="48"/>
      <c r="K53" s="48">
        <v>0</v>
      </c>
      <c r="L53" s="48">
        <v>0</v>
      </c>
      <c r="M53" s="48">
        <v>0</v>
      </c>
      <c r="N53" s="158" t="s">
        <v>673</v>
      </c>
      <c r="O53" s="160"/>
      <c r="P53" s="158" t="s">
        <v>786</v>
      </c>
      <c r="Q53" s="160"/>
    </row>
    <row r="54" spans="2:17" ht="16.5" customHeight="1">
      <c r="E54" s="51" t="s">
        <v>458</v>
      </c>
      <c r="F54" s="48"/>
      <c r="G54" s="48"/>
      <c r="H54" s="48"/>
      <c r="I54" s="48"/>
      <c r="J54" s="48"/>
      <c r="K54" s="48" t="s">
        <v>483</v>
      </c>
      <c r="L54" s="48" t="s">
        <v>483</v>
      </c>
      <c r="M54" s="48" t="s">
        <v>483</v>
      </c>
      <c r="N54" s="158" t="s">
        <v>483</v>
      </c>
      <c r="O54" s="160"/>
      <c r="P54" s="158" t="s">
        <v>483</v>
      </c>
      <c r="Q54" s="160"/>
    </row>
    <row r="55" spans="2:17" ht="16.5" customHeight="1">
      <c r="E55" s="51" t="s">
        <v>461</v>
      </c>
      <c r="F55" s="48"/>
      <c r="G55" s="48"/>
      <c r="H55" s="48"/>
      <c r="I55" s="48"/>
      <c r="J55" s="48"/>
      <c r="K55" s="48" t="s">
        <v>321</v>
      </c>
      <c r="L55" s="48" t="s">
        <v>321</v>
      </c>
      <c r="M55" s="48" t="s">
        <v>321</v>
      </c>
      <c r="N55" s="158" t="s">
        <v>321</v>
      </c>
      <c r="O55" s="160"/>
      <c r="P55" s="158" t="s">
        <v>321</v>
      </c>
      <c r="Q55" s="160"/>
    </row>
    <row r="56" spans="2:17" ht="295.5" customHeight="1">
      <c r="E56" s="51" t="s">
        <v>485</v>
      </c>
      <c r="F56" s="165" t="s">
        <v>846</v>
      </c>
      <c r="G56" s="165"/>
      <c r="H56" s="165"/>
      <c r="I56" s="165"/>
      <c r="J56" s="165"/>
      <c r="K56" s="165"/>
      <c r="L56" s="165"/>
      <c r="M56" s="165"/>
      <c r="N56" s="165"/>
      <c r="O56" s="165"/>
      <c r="P56" s="165"/>
      <c r="Q56" s="165"/>
    </row>
    <row r="58" spans="2:17">
      <c r="B58" s="50" t="s">
        <v>465</v>
      </c>
      <c r="C58" s="50" t="s">
        <v>466</v>
      </c>
      <c r="E58" s="51"/>
      <c r="F58" s="51" t="s">
        <v>494</v>
      </c>
      <c r="G58" s="51" t="s">
        <v>495</v>
      </c>
      <c r="H58" s="51" t="s">
        <v>496</v>
      </c>
      <c r="I58" s="51" t="s">
        <v>497</v>
      </c>
      <c r="J58" s="51" t="s">
        <v>498</v>
      </c>
      <c r="K58" s="51" t="s">
        <v>499</v>
      </c>
      <c r="L58" s="51" t="s">
        <v>500</v>
      </c>
      <c r="M58" s="51" t="s">
        <v>501</v>
      </c>
      <c r="N58" s="51" t="s">
        <v>502</v>
      </c>
      <c r="O58" s="51" t="s">
        <v>503</v>
      </c>
      <c r="P58" s="51" t="s">
        <v>504</v>
      </c>
      <c r="Q58" s="51" t="s">
        <v>505</v>
      </c>
    </row>
    <row r="59" spans="2:17">
      <c r="B59" s="52" t="s">
        <v>506</v>
      </c>
      <c r="C59" s="52" t="s">
        <v>189</v>
      </c>
      <c r="E59" s="51" t="s">
        <v>480</v>
      </c>
      <c r="F59" s="74" t="s">
        <v>614</v>
      </c>
      <c r="G59" s="74" t="s">
        <v>614</v>
      </c>
      <c r="H59" s="74" t="s">
        <v>614</v>
      </c>
      <c r="I59" s="74" t="s">
        <v>614</v>
      </c>
      <c r="J59" s="74" t="s">
        <v>614</v>
      </c>
      <c r="K59" s="74" t="s">
        <v>614</v>
      </c>
      <c r="L59" s="74" t="s">
        <v>614</v>
      </c>
      <c r="M59" s="74" t="s">
        <v>614</v>
      </c>
      <c r="N59" s="164" t="s">
        <v>452</v>
      </c>
      <c r="O59" s="164"/>
      <c r="P59" s="164"/>
      <c r="Q59" s="164"/>
    </row>
    <row r="60" spans="2:17">
      <c r="B60" s="52" t="s">
        <v>506</v>
      </c>
      <c r="C60" s="52" t="s">
        <v>192</v>
      </c>
      <c r="E60" s="51" t="s">
        <v>481</v>
      </c>
      <c r="F60" s="52"/>
      <c r="G60" s="52"/>
      <c r="H60" s="52"/>
      <c r="I60" s="52"/>
      <c r="J60" s="52"/>
      <c r="K60" s="52"/>
      <c r="L60" s="52"/>
      <c r="M60" s="52"/>
      <c r="N60" s="164" t="s">
        <v>482</v>
      </c>
      <c r="O60" s="164"/>
      <c r="P60" s="164"/>
      <c r="Q60" s="164"/>
    </row>
    <row r="61" spans="2:17">
      <c r="E61" s="51" t="s">
        <v>458</v>
      </c>
      <c r="F61" s="52"/>
      <c r="G61" s="52"/>
      <c r="H61" s="52"/>
      <c r="I61" s="52"/>
      <c r="J61" s="52"/>
      <c r="K61" s="52"/>
      <c r="L61" s="52"/>
      <c r="M61" s="52"/>
      <c r="N61" s="164" t="s">
        <v>483</v>
      </c>
      <c r="O61" s="164"/>
      <c r="P61" s="164"/>
      <c r="Q61" s="164"/>
    </row>
    <row r="62" spans="2:17">
      <c r="E62" s="51" t="s">
        <v>461</v>
      </c>
      <c r="F62" s="52"/>
      <c r="G62" s="52"/>
      <c r="H62" s="52"/>
      <c r="I62" s="52"/>
      <c r="J62" s="52"/>
      <c r="K62" s="52"/>
      <c r="L62" s="52"/>
      <c r="M62" s="52"/>
      <c r="N62" s="164" t="s">
        <v>321</v>
      </c>
      <c r="O62" s="164"/>
      <c r="P62" s="164"/>
      <c r="Q62" s="164"/>
    </row>
    <row r="63" spans="2:17">
      <c r="E63" s="51"/>
      <c r="F63" s="51" t="s">
        <v>467</v>
      </c>
      <c r="G63" s="51" t="s">
        <v>468</v>
      </c>
      <c r="H63" s="51" t="s">
        <v>469</v>
      </c>
      <c r="I63" s="51" t="s">
        <v>470</v>
      </c>
      <c r="J63" s="51" t="s">
        <v>471</v>
      </c>
      <c r="K63" s="51" t="s">
        <v>472</v>
      </c>
      <c r="L63" s="51" t="s">
        <v>473</v>
      </c>
      <c r="M63" s="51" t="s">
        <v>474</v>
      </c>
      <c r="N63" s="51" t="s">
        <v>475</v>
      </c>
      <c r="O63" s="51" t="s">
        <v>476</v>
      </c>
      <c r="P63" s="51" t="s">
        <v>477</v>
      </c>
      <c r="Q63" s="51" t="s">
        <v>478</v>
      </c>
    </row>
    <row r="64" spans="2:17">
      <c r="E64" s="51" t="s">
        <v>480</v>
      </c>
      <c r="F64" s="164" t="s">
        <v>453</v>
      </c>
      <c r="G64" s="164"/>
      <c r="H64" s="164"/>
      <c r="I64" s="164"/>
      <c r="J64" s="164"/>
      <c r="K64" s="164"/>
      <c r="L64" s="164"/>
      <c r="M64" s="164"/>
      <c r="N64" s="164"/>
      <c r="O64" s="164"/>
      <c r="P64" s="164"/>
      <c r="Q64" s="164"/>
    </row>
    <row r="65" spans="2:17">
      <c r="E65" s="51" t="s">
        <v>481</v>
      </c>
      <c r="F65" s="164" t="s">
        <v>490</v>
      </c>
      <c r="G65" s="164"/>
      <c r="H65" s="164"/>
      <c r="I65" s="164"/>
      <c r="J65" s="164"/>
      <c r="K65" s="164"/>
      <c r="L65" s="164"/>
      <c r="M65" s="164"/>
      <c r="N65" s="164"/>
      <c r="O65" s="164"/>
      <c r="P65" s="164"/>
      <c r="Q65" s="164"/>
    </row>
    <row r="66" spans="2:17">
      <c r="E66" s="51" t="s">
        <v>458</v>
      </c>
      <c r="F66" s="164" t="s">
        <v>483</v>
      </c>
      <c r="G66" s="164"/>
      <c r="H66" s="164"/>
      <c r="I66" s="164"/>
      <c r="J66" s="164"/>
      <c r="K66" s="164"/>
      <c r="L66" s="164"/>
      <c r="M66" s="164"/>
      <c r="N66" s="164"/>
      <c r="O66" s="164"/>
      <c r="P66" s="164"/>
      <c r="Q66" s="164"/>
    </row>
    <row r="67" spans="2:17">
      <c r="E67" s="51" t="s">
        <v>461</v>
      </c>
      <c r="F67" s="164" t="s">
        <v>321</v>
      </c>
      <c r="G67" s="164"/>
      <c r="H67" s="164"/>
      <c r="I67" s="164"/>
      <c r="J67" s="164"/>
      <c r="K67" s="164"/>
      <c r="L67" s="164"/>
      <c r="M67" s="164"/>
      <c r="N67" s="164"/>
      <c r="O67" s="164"/>
      <c r="P67" s="164"/>
      <c r="Q67" s="164"/>
    </row>
    <row r="68" spans="2:17" ht="161.25" customHeight="1">
      <c r="E68" s="53" t="s">
        <v>485</v>
      </c>
      <c r="F68" s="166" t="s">
        <v>670</v>
      </c>
      <c r="G68" s="167"/>
      <c r="H68" s="167"/>
      <c r="I68" s="167"/>
      <c r="J68" s="167"/>
      <c r="K68" s="167"/>
      <c r="L68" s="167"/>
      <c r="M68" s="167"/>
      <c r="N68" s="167"/>
      <c r="O68" s="167"/>
      <c r="P68" s="167"/>
      <c r="Q68" s="168"/>
    </row>
    <row r="70" spans="2:17">
      <c r="B70" s="50" t="s">
        <v>465</v>
      </c>
      <c r="C70" s="50" t="s">
        <v>466</v>
      </c>
      <c r="E70" s="51"/>
      <c r="F70" s="51" t="s">
        <v>494</v>
      </c>
      <c r="G70" s="51" t="s">
        <v>495</v>
      </c>
      <c r="H70" s="51" t="s">
        <v>496</v>
      </c>
      <c r="I70" s="51" t="s">
        <v>497</v>
      </c>
      <c r="J70" s="51" t="s">
        <v>498</v>
      </c>
      <c r="K70" s="51" t="s">
        <v>499</v>
      </c>
      <c r="L70" s="51" t="s">
        <v>500</v>
      </c>
      <c r="M70" s="51" t="s">
        <v>501</v>
      </c>
      <c r="N70" s="51" t="s">
        <v>502</v>
      </c>
      <c r="O70" s="51" t="s">
        <v>503</v>
      </c>
      <c r="P70" s="51" t="s">
        <v>504</v>
      </c>
      <c r="Q70" s="51" t="s">
        <v>505</v>
      </c>
    </row>
    <row r="71" spans="2:17">
      <c r="B71" s="52" t="s">
        <v>507</v>
      </c>
      <c r="C71" s="52" t="s">
        <v>613</v>
      </c>
      <c r="E71" s="51" t="s">
        <v>480</v>
      </c>
      <c r="F71" s="164" t="s">
        <v>455</v>
      </c>
      <c r="G71" s="164"/>
      <c r="H71" s="164"/>
      <c r="I71" s="164"/>
      <c r="J71" s="164"/>
      <c r="K71" s="164"/>
      <c r="L71" s="164"/>
      <c r="M71" s="164"/>
      <c r="N71" s="164" t="s">
        <v>456</v>
      </c>
      <c r="O71" s="164"/>
      <c r="P71" s="164"/>
      <c r="Q71" s="164"/>
    </row>
    <row r="72" spans="2:17">
      <c r="B72" s="52" t="s">
        <v>507</v>
      </c>
      <c r="C72" s="52" t="s">
        <v>672</v>
      </c>
      <c r="E72" s="51" t="s">
        <v>481</v>
      </c>
      <c r="F72" s="164" t="s">
        <v>508</v>
      </c>
      <c r="G72" s="164"/>
      <c r="H72" s="164"/>
      <c r="I72" s="164"/>
      <c r="J72" s="164"/>
      <c r="K72" s="164"/>
      <c r="L72" s="164"/>
      <c r="M72" s="164"/>
      <c r="N72" s="164" t="s">
        <v>482</v>
      </c>
      <c r="O72" s="164"/>
      <c r="P72" s="164"/>
      <c r="Q72" s="164"/>
    </row>
    <row r="73" spans="2:17">
      <c r="E73" s="51" t="s">
        <v>458</v>
      </c>
      <c r="F73" s="164" t="s">
        <v>483</v>
      </c>
      <c r="G73" s="164"/>
      <c r="H73" s="164"/>
      <c r="I73" s="164"/>
      <c r="J73" s="164"/>
      <c r="K73" s="164"/>
      <c r="L73" s="164"/>
      <c r="M73" s="164"/>
      <c r="N73" s="164" t="s">
        <v>483</v>
      </c>
      <c r="O73" s="164"/>
      <c r="P73" s="164"/>
      <c r="Q73" s="164"/>
    </row>
    <row r="74" spans="2:17">
      <c r="E74" s="51" t="s">
        <v>461</v>
      </c>
      <c r="F74" s="164" t="s">
        <v>321</v>
      </c>
      <c r="G74" s="164"/>
      <c r="H74" s="164"/>
      <c r="I74" s="164"/>
      <c r="J74" s="164"/>
      <c r="K74" s="164"/>
      <c r="L74" s="164"/>
      <c r="M74" s="164"/>
      <c r="N74" s="164" t="s">
        <v>321</v>
      </c>
      <c r="O74" s="164"/>
      <c r="P74" s="164"/>
      <c r="Q74" s="164"/>
    </row>
    <row r="75" spans="2:17">
      <c r="E75" s="51"/>
      <c r="F75" s="51" t="s">
        <v>467</v>
      </c>
      <c r="G75" s="51" t="s">
        <v>468</v>
      </c>
      <c r="H75" s="51" t="s">
        <v>469</v>
      </c>
      <c r="I75" s="51" t="s">
        <v>470</v>
      </c>
      <c r="J75" s="51" t="s">
        <v>471</v>
      </c>
      <c r="K75" s="51" t="s">
        <v>472</v>
      </c>
      <c r="L75" s="51" t="s">
        <v>473</v>
      </c>
      <c r="M75" s="51" t="s">
        <v>474</v>
      </c>
      <c r="N75" s="51" t="s">
        <v>475</v>
      </c>
      <c r="O75" s="51" t="s">
        <v>476</v>
      </c>
      <c r="P75" s="51" t="s">
        <v>477</v>
      </c>
      <c r="Q75" s="51" t="s">
        <v>478</v>
      </c>
    </row>
    <row r="76" spans="2:17">
      <c r="E76" s="51" t="s">
        <v>480</v>
      </c>
      <c r="F76" s="164" t="s">
        <v>456</v>
      </c>
      <c r="G76" s="164"/>
      <c r="H76" s="164"/>
      <c r="I76" s="164"/>
      <c r="J76" s="164" t="s">
        <v>457</v>
      </c>
      <c r="K76" s="164"/>
      <c r="L76" s="164"/>
      <c r="M76" s="164"/>
      <c r="N76" s="164"/>
      <c r="O76" s="164"/>
      <c r="P76" s="164"/>
      <c r="Q76" s="164"/>
    </row>
    <row r="77" spans="2:17">
      <c r="E77" s="51" t="s">
        <v>481</v>
      </c>
      <c r="F77" s="164" t="s">
        <v>482</v>
      </c>
      <c r="G77" s="164"/>
      <c r="H77" s="164"/>
      <c r="I77" s="164"/>
      <c r="J77" s="164" t="s">
        <v>490</v>
      </c>
      <c r="K77" s="164"/>
      <c r="L77" s="164"/>
      <c r="M77" s="164"/>
      <c r="N77" s="164"/>
      <c r="O77" s="164"/>
      <c r="P77" s="164"/>
      <c r="Q77" s="164"/>
    </row>
    <row r="78" spans="2:17">
      <c r="E78" s="51" t="s">
        <v>458</v>
      </c>
      <c r="F78" s="164" t="s">
        <v>483</v>
      </c>
      <c r="G78" s="164"/>
      <c r="H78" s="164"/>
      <c r="I78" s="164"/>
      <c r="J78" s="164" t="s">
        <v>483</v>
      </c>
      <c r="K78" s="164"/>
      <c r="L78" s="164"/>
      <c r="M78" s="164"/>
      <c r="N78" s="164"/>
      <c r="O78" s="164"/>
      <c r="P78" s="164"/>
      <c r="Q78" s="164"/>
    </row>
    <row r="79" spans="2:17">
      <c r="E79" s="51" t="s">
        <v>461</v>
      </c>
      <c r="F79" s="164" t="s">
        <v>321</v>
      </c>
      <c r="G79" s="164"/>
      <c r="H79" s="164"/>
      <c r="I79" s="164"/>
      <c r="J79" s="164" t="s">
        <v>321</v>
      </c>
      <c r="K79" s="164"/>
      <c r="L79" s="164"/>
      <c r="M79" s="164"/>
      <c r="N79" s="164"/>
      <c r="O79" s="164"/>
      <c r="P79" s="164"/>
      <c r="Q79" s="164"/>
    </row>
    <row r="80" spans="2:17" ht="29.2" customHeight="1">
      <c r="E80" s="51" t="s">
        <v>485</v>
      </c>
      <c r="F80" s="169" t="s">
        <v>666</v>
      </c>
      <c r="G80" s="169"/>
      <c r="H80" s="169"/>
      <c r="I80" s="169"/>
      <c r="J80" s="169"/>
      <c r="K80" s="169"/>
      <c r="L80" s="169"/>
      <c r="M80" s="169"/>
      <c r="N80" s="169"/>
      <c r="O80" s="169"/>
      <c r="P80" s="169"/>
      <c r="Q80" s="169"/>
    </row>
    <row r="82" spans="2:17">
      <c r="B82" s="50" t="s">
        <v>465</v>
      </c>
      <c r="C82" s="50" t="s">
        <v>466</v>
      </c>
      <c r="E82" s="51"/>
      <c r="F82" s="51" t="s">
        <v>467</v>
      </c>
      <c r="G82" s="51" t="s">
        <v>468</v>
      </c>
      <c r="H82" s="51" t="s">
        <v>469</v>
      </c>
      <c r="I82" s="51" t="s">
        <v>470</v>
      </c>
      <c r="J82" s="51" t="s">
        <v>471</v>
      </c>
      <c r="K82" s="51" t="s">
        <v>472</v>
      </c>
      <c r="L82" s="51" t="s">
        <v>473</v>
      </c>
      <c r="M82" s="51" t="s">
        <v>474</v>
      </c>
      <c r="N82" s="51" t="s">
        <v>475</v>
      </c>
      <c r="O82" s="51" t="s">
        <v>476</v>
      </c>
      <c r="P82" s="51" t="s">
        <v>477</v>
      </c>
      <c r="Q82" s="51" t="s">
        <v>478</v>
      </c>
    </row>
    <row r="83" spans="2:17">
      <c r="B83" s="52" t="s">
        <v>509</v>
      </c>
      <c r="C83" s="52" t="s">
        <v>196</v>
      </c>
      <c r="E83" s="51" t="s">
        <v>480</v>
      </c>
      <c r="F83" s="74" t="s">
        <v>614</v>
      </c>
      <c r="G83" s="74" t="s">
        <v>614</v>
      </c>
      <c r="H83" s="164" t="s">
        <v>416</v>
      </c>
      <c r="I83" s="164"/>
      <c r="J83" s="164"/>
      <c r="K83" s="164"/>
      <c r="L83" s="164"/>
      <c r="M83" s="164"/>
      <c r="N83" s="164"/>
      <c r="O83" s="164"/>
      <c r="P83" s="164"/>
      <c r="Q83" s="164"/>
    </row>
    <row r="84" spans="2:17">
      <c r="E84" s="51" t="s">
        <v>481</v>
      </c>
      <c r="F84" s="48"/>
      <c r="G84" s="48"/>
      <c r="H84" s="164" t="s">
        <v>490</v>
      </c>
      <c r="I84" s="164"/>
      <c r="J84" s="164"/>
      <c r="K84" s="164"/>
      <c r="L84" s="164"/>
      <c r="M84" s="164"/>
      <c r="N84" s="164"/>
      <c r="O84" s="164"/>
      <c r="P84" s="164"/>
      <c r="Q84" s="164"/>
    </row>
    <row r="85" spans="2:17">
      <c r="E85" s="51" t="s">
        <v>458</v>
      </c>
      <c r="F85" s="48"/>
      <c r="G85" s="48"/>
      <c r="H85" s="164" t="s">
        <v>483</v>
      </c>
      <c r="I85" s="164"/>
      <c r="J85" s="164"/>
      <c r="K85" s="164"/>
      <c r="L85" s="164"/>
      <c r="M85" s="164"/>
      <c r="N85" s="164"/>
      <c r="O85" s="164"/>
      <c r="P85" s="164"/>
      <c r="Q85" s="164"/>
    </row>
    <row r="86" spans="2:17">
      <c r="E86" s="51" t="s">
        <v>461</v>
      </c>
      <c r="F86" s="48"/>
      <c r="G86" s="48"/>
      <c r="H86" s="164" t="s">
        <v>321</v>
      </c>
      <c r="I86" s="164"/>
      <c r="J86" s="164"/>
      <c r="K86" s="164"/>
      <c r="L86" s="164"/>
      <c r="M86" s="164"/>
      <c r="N86" s="164"/>
      <c r="O86" s="164"/>
      <c r="P86" s="164"/>
      <c r="Q86" s="164"/>
    </row>
    <row r="87" spans="2:17" ht="28.05" customHeight="1">
      <c r="E87" s="51" t="s">
        <v>485</v>
      </c>
      <c r="F87" s="169" t="s">
        <v>510</v>
      </c>
      <c r="G87" s="169"/>
      <c r="H87" s="169"/>
      <c r="I87" s="169"/>
      <c r="J87" s="169"/>
      <c r="K87" s="169"/>
      <c r="L87" s="169"/>
      <c r="M87" s="169"/>
      <c r="N87" s="169"/>
      <c r="O87" s="169"/>
      <c r="P87" s="169"/>
      <c r="Q87" s="169"/>
    </row>
    <row r="88" spans="2:17">
      <c r="E88" s="54"/>
      <c r="F88" s="49"/>
      <c r="G88" s="49"/>
      <c r="H88" s="49"/>
      <c r="I88" s="49"/>
      <c r="J88" s="49"/>
      <c r="K88" s="49"/>
      <c r="L88" s="49"/>
      <c r="M88" s="49"/>
      <c r="N88" s="49"/>
      <c r="O88" s="49"/>
      <c r="P88" s="49"/>
      <c r="Q88" s="49"/>
    </row>
    <row r="89" spans="2:17">
      <c r="B89" s="50" t="s">
        <v>465</v>
      </c>
      <c r="C89" s="50" t="s">
        <v>466</v>
      </c>
      <c r="E89" s="51"/>
      <c r="F89" s="51" t="s">
        <v>467</v>
      </c>
      <c r="G89" s="51" t="s">
        <v>468</v>
      </c>
      <c r="H89" s="51" t="s">
        <v>469</v>
      </c>
      <c r="I89" s="51" t="s">
        <v>470</v>
      </c>
      <c r="J89" s="51" t="s">
        <v>471</v>
      </c>
      <c r="K89" s="51" t="s">
        <v>472</v>
      </c>
      <c r="L89" s="51" t="s">
        <v>473</v>
      </c>
      <c r="M89" s="51" t="s">
        <v>474</v>
      </c>
      <c r="N89" s="51" t="s">
        <v>475</v>
      </c>
      <c r="O89" s="51" t="s">
        <v>476</v>
      </c>
      <c r="P89" s="51" t="s">
        <v>477</v>
      </c>
      <c r="Q89" s="51" t="s">
        <v>478</v>
      </c>
    </row>
    <row r="90" spans="2:17">
      <c r="B90" s="52" t="s">
        <v>511</v>
      </c>
      <c r="C90" s="52" t="s">
        <v>199</v>
      </c>
      <c r="E90" s="51" t="s">
        <v>480</v>
      </c>
      <c r="F90" s="74" t="s">
        <v>614</v>
      </c>
      <c r="G90" s="74" t="s">
        <v>614</v>
      </c>
      <c r="H90" s="164" t="s">
        <v>419</v>
      </c>
      <c r="I90" s="164"/>
      <c r="J90" s="164"/>
      <c r="K90" s="164"/>
      <c r="L90" s="164"/>
      <c r="M90" s="164"/>
      <c r="N90" s="164"/>
      <c r="O90" s="164"/>
      <c r="P90" s="164"/>
      <c r="Q90" s="164"/>
    </row>
    <row r="91" spans="2:17">
      <c r="E91" s="51" t="s">
        <v>481</v>
      </c>
      <c r="F91" s="48"/>
      <c r="G91" s="48"/>
      <c r="H91" s="164" t="s">
        <v>490</v>
      </c>
      <c r="I91" s="164"/>
      <c r="J91" s="164"/>
      <c r="K91" s="164"/>
      <c r="L91" s="164"/>
      <c r="M91" s="164"/>
      <c r="N91" s="164"/>
      <c r="O91" s="164"/>
      <c r="P91" s="164"/>
      <c r="Q91" s="164"/>
    </row>
    <row r="92" spans="2:17">
      <c r="E92" s="51" t="s">
        <v>458</v>
      </c>
      <c r="F92" s="48"/>
      <c r="G92" s="48"/>
      <c r="H92" s="164" t="s">
        <v>483</v>
      </c>
      <c r="I92" s="164"/>
      <c r="J92" s="164"/>
      <c r="K92" s="164"/>
      <c r="L92" s="164"/>
      <c r="M92" s="164"/>
      <c r="N92" s="164"/>
      <c r="O92" s="164"/>
      <c r="P92" s="164"/>
      <c r="Q92" s="164"/>
    </row>
    <row r="93" spans="2:17">
      <c r="E93" s="51" t="s">
        <v>461</v>
      </c>
      <c r="F93" s="48"/>
      <c r="G93" s="48"/>
      <c r="H93" s="164" t="s">
        <v>321</v>
      </c>
      <c r="I93" s="164"/>
      <c r="J93" s="164"/>
      <c r="K93" s="164"/>
      <c r="L93" s="164"/>
      <c r="M93" s="164"/>
      <c r="N93" s="164"/>
      <c r="O93" s="164"/>
      <c r="P93" s="164"/>
      <c r="Q93" s="164"/>
    </row>
    <row r="94" spans="2:17" ht="29.2" customHeight="1">
      <c r="E94" s="51" t="s">
        <v>485</v>
      </c>
      <c r="F94" s="169" t="s">
        <v>512</v>
      </c>
      <c r="G94" s="169"/>
      <c r="H94" s="169"/>
      <c r="I94" s="169"/>
      <c r="J94" s="169"/>
      <c r="K94" s="169"/>
      <c r="L94" s="169"/>
      <c r="M94" s="169"/>
      <c r="N94" s="169"/>
      <c r="O94" s="169"/>
      <c r="P94" s="169"/>
      <c r="Q94" s="169"/>
    </row>
    <row r="95" spans="2:17" ht="16.5" customHeight="1"/>
    <row r="96" spans="2:17">
      <c r="B96" s="50" t="s">
        <v>465</v>
      </c>
      <c r="C96" s="50" t="s">
        <v>466</v>
      </c>
      <c r="E96" s="51"/>
      <c r="F96" s="51" t="s">
        <v>467</v>
      </c>
      <c r="G96" s="51" t="s">
        <v>468</v>
      </c>
      <c r="H96" s="51" t="s">
        <v>469</v>
      </c>
      <c r="I96" s="51" t="s">
        <v>470</v>
      </c>
      <c r="J96" s="51" t="s">
        <v>471</v>
      </c>
      <c r="K96" s="51" t="s">
        <v>472</v>
      </c>
      <c r="L96" s="51" t="s">
        <v>473</v>
      </c>
      <c r="M96" s="51" t="s">
        <v>474</v>
      </c>
      <c r="N96" s="51" t="s">
        <v>475</v>
      </c>
      <c r="O96" s="51" t="s">
        <v>476</v>
      </c>
      <c r="P96" s="51" t="s">
        <v>477</v>
      </c>
      <c r="Q96" s="51" t="s">
        <v>478</v>
      </c>
    </row>
    <row r="97" spans="2:17">
      <c r="B97" s="52" t="s">
        <v>513</v>
      </c>
      <c r="C97" s="52" t="s">
        <v>203</v>
      </c>
      <c r="E97" s="51" t="s">
        <v>480</v>
      </c>
      <c r="F97" s="158" t="s">
        <v>421</v>
      </c>
      <c r="G97" s="159"/>
      <c r="H97" s="159"/>
      <c r="I97" s="159"/>
      <c r="J97" s="159"/>
      <c r="K97" s="159"/>
      <c r="L97" s="159"/>
      <c r="M97" s="159"/>
      <c r="N97" s="159"/>
      <c r="O97" s="159"/>
      <c r="P97" s="159"/>
      <c r="Q97" s="160"/>
    </row>
    <row r="98" spans="2:17">
      <c r="E98" s="51" t="s">
        <v>481</v>
      </c>
      <c r="F98" s="158" t="s">
        <v>490</v>
      </c>
      <c r="G98" s="159"/>
      <c r="H98" s="159"/>
      <c r="I98" s="159"/>
      <c r="J98" s="159"/>
      <c r="K98" s="159"/>
      <c r="L98" s="159"/>
      <c r="M98" s="159"/>
      <c r="N98" s="159"/>
      <c r="O98" s="159"/>
      <c r="P98" s="159"/>
      <c r="Q98" s="160"/>
    </row>
    <row r="99" spans="2:17">
      <c r="E99" s="51" t="s">
        <v>458</v>
      </c>
      <c r="F99" s="158" t="s">
        <v>483</v>
      </c>
      <c r="G99" s="159"/>
      <c r="H99" s="159"/>
      <c r="I99" s="159"/>
      <c r="J99" s="159"/>
      <c r="K99" s="159"/>
      <c r="L99" s="159"/>
      <c r="M99" s="159"/>
      <c r="N99" s="159"/>
      <c r="O99" s="159"/>
      <c r="P99" s="159"/>
      <c r="Q99" s="160"/>
    </row>
    <row r="100" spans="2:17">
      <c r="E100" s="51" t="s">
        <v>461</v>
      </c>
      <c r="F100" s="158" t="s">
        <v>484</v>
      </c>
      <c r="G100" s="159"/>
      <c r="H100" s="159"/>
      <c r="I100" s="159"/>
      <c r="J100" s="159"/>
      <c r="K100" s="159"/>
      <c r="L100" s="159"/>
      <c r="M100" s="159"/>
      <c r="N100" s="159"/>
      <c r="O100" s="159"/>
      <c r="P100" s="159"/>
      <c r="Q100" s="160"/>
    </row>
    <row r="101" spans="2:17">
      <c r="E101" s="51" t="s">
        <v>485</v>
      </c>
      <c r="F101" s="161" t="s">
        <v>514</v>
      </c>
      <c r="G101" s="162"/>
      <c r="H101" s="162"/>
      <c r="I101" s="162"/>
      <c r="J101" s="162"/>
      <c r="K101" s="162"/>
      <c r="L101" s="162"/>
      <c r="M101" s="162"/>
      <c r="N101" s="162"/>
      <c r="O101" s="162"/>
      <c r="P101" s="162"/>
      <c r="Q101" s="163"/>
    </row>
    <row r="103" spans="2:17">
      <c r="B103" s="50" t="s">
        <v>465</v>
      </c>
      <c r="C103" s="50" t="s">
        <v>466</v>
      </c>
      <c r="E103" s="51"/>
      <c r="F103" s="51" t="s">
        <v>467</v>
      </c>
      <c r="G103" s="51" t="s">
        <v>468</v>
      </c>
      <c r="H103" s="51" t="s">
        <v>469</v>
      </c>
      <c r="I103" s="51" t="s">
        <v>470</v>
      </c>
      <c r="J103" s="51" t="s">
        <v>471</v>
      </c>
      <c r="K103" s="51" t="s">
        <v>472</v>
      </c>
      <c r="L103" s="51" t="s">
        <v>473</v>
      </c>
      <c r="M103" s="51" t="s">
        <v>474</v>
      </c>
      <c r="N103" s="51" t="s">
        <v>475</v>
      </c>
      <c r="O103" s="51" t="s">
        <v>476</v>
      </c>
      <c r="P103" s="51" t="s">
        <v>477</v>
      </c>
      <c r="Q103" s="51" t="s">
        <v>478</v>
      </c>
    </row>
    <row r="104" spans="2:17">
      <c r="B104" s="52" t="s">
        <v>515</v>
      </c>
      <c r="C104" s="52" t="s">
        <v>207</v>
      </c>
      <c r="E104" s="51" t="s">
        <v>480</v>
      </c>
      <c r="F104" s="158" t="s">
        <v>423</v>
      </c>
      <c r="G104" s="159"/>
      <c r="H104" s="159"/>
      <c r="I104" s="159"/>
      <c r="J104" s="159"/>
      <c r="K104" s="159"/>
      <c r="L104" s="159"/>
      <c r="M104" s="159"/>
      <c r="N104" s="159"/>
      <c r="O104" s="159"/>
      <c r="P104" s="159"/>
      <c r="Q104" s="160"/>
    </row>
    <row r="105" spans="2:17">
      <c r="E105" s="51" t="s">
        <v>481</v>
      </c>
      <c r="F105" s="158" t="s">
        <v>490</v>
      </c>
      <c r="G105" s="159"/>
      <c r="H105" s="159"/>
      <c r="I105" s="159"/>
      <c r="J105" s="159"/>
      <c r="K105" s="159"/>
      <c r="L105" s="159"/>
      <c r="M105" s="159"/>
      <c r="N105" s="159"/>
      <c r="O105" s="159"/>
      <c r="P105" s="159"/>
      <c r="Q105" s="160"/>
    </row>
    <row r="106" spans="2:17">
      <c r="E106" s="51" t="s">
        <v>458</v>
      </c>
      <c r="F106" s="158" t="s">
        <v>483</v>
      </c>
      <c r="G106" s="159"/>
      <c r="H106" s="159"/>
      <c r="I106" s="159"/>
      <c r="J106" s="159"/>
      <c r="K106" s="159"/>
      <c r="L106" s="159"/>
      <c r="M106" s="159"/>
      <c r="N106" s="159"/>
      <c r="O106" s="159"/>
      <c r="P106" s="159"/>
      <c r="Q106" s="160"/>
    </row>
    <row r="107" spans="2:17">
      <c r="E107" s="51" t="s">
        <v>461</v>
      </c>
      <c r="F107" s="158" t="s">
        <v>484</v>
      </c>
      <c r="G107" s="159"/>
      <c r="H107" s="159"/>
      <c r="I107" s="159"/>
      <c r="J107" s="159"/>
      <c r="K107" s="159"/>
      <c r="L107" s="159"/>
      <c r="M107" s="159"/>
      <c r="N107" s="159"/>
      <c r="O107" s="159"/>
      <c r="P107" s="159"/>
      <c r="Q107" s="160"/>
    </row>
    <row r="108" spans="2:17">
      <c r="E108" s="51" t="s">
        <v>485</v>
      </c>
      <c r="F108" s="161" t="s">
        <v>516</v>
      </c>
      <c r="G108" s="162"/>
      <c r="H108" s="162"/>
      <c r="I108" s="162"/>
      <c r="J108" s="162"/>
      <c r="K108" s="162"/>
      <c r="L108" s="162"/>
      <c r="M108" s="162"/>
      <c r="N108" s="162"/>
      <c r="O108" s="162"/>
      <c r="P108" s="162"/>
      <c r="Q108" s="163"/>
    </row>
    <row r="110" spans="2:17">
      <c r="B110" s="50" t="s">
        <v>465</v>
      </c>
      <c r="C110" s="50" t="s">
        <v>466</v>
      </c>
      <c r="E110" s="51"/>
      <c r="F110" s="51" t="s">
        <v>467</v>
      </c>
      <c r="G110" s="51" t="s">
        <v>468</v>
      </c>
      <c r="H110" s="51" t="s">
        <v>469</v>
      </c>
      <c r="I110" s="51" t="s">
        <v>470</v>
      </c>
      <c r="J110" s="51" t="s">
        <v>471</v>
      </c>
      <c r="K110" s="51" t="s">
        <v>472</v>
      </c>
      <c r="L110" s="51" t="s">
        <v>473</v>
      </c>
      <c r="M110" s="51" t="s">
        <v>474</v>
      </c>
      <c r="N110" s="51" t="s">
        <v>475</v>
      </c>
      <c r="O110" s="51" t="s">
        <v>476</v>
      </c>
      <c r="P110" s="51" t="s">
        <v>477</v>
      </c>
      <c r="Q110" s="51" t="s">
        <v>478</v>
      </c>
    </row>
    <row r="111" spans="2:17">
      <c r="B111" s="52" t="s">
        <v>517</v>
      </c>
      <c r="C111" s="52" t="s">
        <v>211</v>
      </c>
      <c r="E111" s="51" t="s">
        <v>480</v>
      </c>
      <c r="F111" s="158" t="s">
        <v>425</v>
      </c>
      <c r="G111" s="159"/>
      <c r="H111" s="159"/>
      <c r="I111" s="159"/>
      <c r="J111" s="159"/>
      <c r="K111" s="159"/>
      <c r="L111" s="159"/>
      <c r="M111" s="159"/>
      <c r="N111" s="159"/>
      <c r="O111" s="159"/>
      <c r="P111" s="159"/>
      <c r="Q111" s="160"/>
    </row>
    <row r="112" spans="2:17">
      <c r="E112" s="51" t="s">
        <v>481</v>
      </c>
      <c r="F112" s="158" t="s">
        <v>490</v>
      </c>
      <c r="G112" s="159"/>
      <c r="H112" s="159"/>
      <c r="I112" s="159"/>
      <c r="J112" s="159"/>
      <c r="K112" s="159"/>
      <c r="L112" s="159"/>
      <c r="M112" s="159"/>
      <c r="N112" s="159"/>
      <c r="O112" s="159"/>
      <c r="P112" s="159"/>
      <c r="Q112" s="160"/>
    </row>
    <row r="113" spans="2:17">
      <c r="E113" s="51" t="s">
        <v>458</v>
      </c>
      <c r="F113" s="158" t="s">
        <v>483</v>
      </c>
      <c r="G113" s="159"/>
      <c r="H113" s="159"/>
      <c r="I113" s="159"/>
      <c r="J113" s="159"/>
      <c r="K113" s="159"/>
      <c r="L113" s="159"/>
      <c r="M113" s="159"/>
      <c r="N113" s="159"/>
      <c r="O113" s="159"/>
      <c r="P113" s="159"/>
      <c r="Q113" s="160"/>
    </row>
    <row r="114" spans="2:17">
      <c r="E114" s="51" t="s">
        <v>461</v>
      </c>
      <c r="F114" s="158" t="s">
        <v>484</v>
      </c>
      <c r="G114" s="159"/>
      <c r="H114" s="159"/>
      <c r="I114" s="159"/>
      <c r="J114" s="159"/>
      <c r="K114" s="159"/>
      <c r="L114" s="159"/>
      <c r="M114" s="159"/>
      <c r="N114" s="159"/>
      <c r="O114" s="159"/>
      <c r="P114" s="159"/>
      <c r="Q114" s="160"/>
    </row>
    <row r="115" spans="2:17">
      <c r="E115" s="51" t="s">
        <v>485</v>
      </c>
      <c r="F115" s="161" t="s">
        <v>518</v>
      </c>
      <c r="G115" s="162"/>
      <c r="H115" s="162"/>
      <c r="I115" s="162"/>
      <c r="J115" s="162"/>
      <c r="K115" s="162"/>
      <c r="L115" s="162"/>
      <c r="M115" s="162"/>
      <c r="N115" s="162"/>
      <c r="O115" s="162"/>
      <c r="P115" s="162"/>
      <c r="Q115" s="163"/>
    </row>
    <row r="117" spans="2:17">
      <c r="B117" s="50" t="s">
        <v>465</v>
      </c>
      <c r="C117" s="50" t="s">
        <v>466</v>
      </c>
      <c r="E117" s="51"/>
      <c r="F117" s="51" t="s">
        <v>467</v>
      </c>
      <c r="G117" s="51" t="s">
        <v>468</v>
      </c>
      <c r="H117" s="51" t="s">
        <v>469</v>
      </c>
      <c r="I117" s="51" t="s">
        <v>470</v>
      </c>
      <c r="J117" s="51" t="s">
        <v>471</v>
      </c>
      <c r="K117" s="51" t="s">
        <v>472</v>
      </c>
      <c r="L117" s="51" t="s">
        <v>473</v>
      </c>
      <c r="M117" s="51" t="s">
        <v>474</v>
      </c>
      <c r="N117" s="51" t="s">
        <v>475</v>
      </c>
      <c r="O117" s="51" t="s">
        <v>476</v>
      </c>
      <c r="P117" s="51" t="s">
        <v>477</v>
      </c>
      <c r="Q117" s="51" t="s">
        <v>478</v>
      </c>
    </row>
    <row r="118" spans="2:17">
      <c r="B118" s="52" t="s">
        <v>589</v>
      </c>
      <c r="C118" s="52" t="s">
        <v>551</v>
      </c>
      <c r="E118" s="51" t="s">
        <v>480</v>
      </c>
      <c r="F118" s="164" t="s">
        <v>592</v>
      </c>
      <c r="G118" s="164"/>
      <c r="H118" s="164"/>
      <c r="I118" s="164"/>
      <c r="J118" s="164" t="s">
        <v>591</v>
      </c>
      <c r="K118" s="164"/>
      <c r="L118" s="164"/>
      <c r="M118" s="164"/>
      <c r="N118" s="164" t="s">
        <v>590</v>
      </c>
      <c r="O118" s="164"/>
      <c r="P118" s="164"/>
      <c r="Q118" s="164"/>
    </row>
    <row r="119" spans="2:17">
      <c r="E119" s="51" t="s">
        <v>481</v>
      </c>
      <c r="F119" s="158" t="s">
        <v>664</v>
      </c>
      <c r="G119" s="159"/>
      <c r="H119" s="159"/>
      <c r="I119" s="159"/>
      <c r="J119" s="158" t="s">
        <v>664</v>
      </c>
      <c r="K119" s="159"/>
      <c r="L119" s="159"/>
      <c r="M119" s="159"/>
      <c r="N119" s="158" t="s">
        <v>664</v>
      </c>
      <c r="O119" s="159"/>
      <c r="P119" s="159"/>
      <c r="Q119" s="159"/>
    </row>
    <row r="120" spans="2:17">
      <c r="E120" s="51" t="s">
        <v>458</v>
      </c>
      <c r="F120" s="158" t="s">
        <v>483</v>
      </c>
      <c r="G120" s="159"/>
      <c r="H120" s="159"/>
      <c r="I120" s="159"/>
      <c r="J120" s="159"/>
      <c r="K120" s="159"/>
      <c r="L120" s="159"/>
      <c r="M120" s="159"/>
      <c r="N120" s="159"/>
      <c r="O120" s="159"/>
      <c r="P120" s="159"/>
      <c r="Q120" s="160"/>
    </row>
    <row r="121" spans="2:17">
      <c r="E121" s="51" t="s">
        <v>461</v>
      </c>
      <c r="F121" s="158" t="s">
        <v>321</v>
      </c>
      <c r="G121" s="159"/>
      <c r="H121" s="159"/>
      <c r="I121" s="159"/>
      <c r="J121" s="159"/>
      <c r="K121" s="159"/>
      <c r="L121" s="159"/>
      <c r="M121" s="159"/>
      <c r="N121" s="159"/>
      <c r="O121" s="159"/>
      <c r="P121" s="159"/>
      <c r="Q121" s="160"/>
    </row>
    <row r="122" spans="2:17" ht="296.64999999999998" customHeight="1">
      <c r="E122" s="51" t="s">
        <v>485</v>
      </c>
      <c r="F122" s="170" t="s">
        <v>848</v>
      </c>
      <c r="G122" s="177"/>
      <c r="H122" s="177"/>
      <c r="I122" s="177"/>
      <c r="J122" s="177"/>
      <c r="K122" s="177"/>
      <c r="L122" s="177"/>
      <c r="M122" s="177"/>
      <c r="N122" s="177"/>
      <c r="O122" s="177"/>
      <c r="P122" s="177"/>
      <c r="Q122" s="178"/>
    </row>
    <row r="124" spans="2:17">
      <c r="B124" s="50" t="s">
        <v>465</v>
      </c>
      <c r="C124" s="50" t="s">
        <v>466</v>
      </c>
      <c r="E124" s="51"/>
      <c r="F124" s="51" t="s">
        <v>467</v>
      </c>
      <c r="G124" s="51" t="s">
        <v>468</v>
      </c>
      <c r="H124" s="51" t="s">
        <v>469</v>
      </c>
      <c r="I124" s="51" t="s">
        <v>470</v>
      </c>
      <c r="J124" s="51" t="s">
        <v>471</v>
      </c>
      <c r="K124" s="51" t="s">
        <v>472</v>
      </c>
      <c r="L124" s="51" t="s">
        <v>473</v>
      </c>
      <c r="M124" s="51" t="s">
        <v>474</v>
      </c>
      <c r="N124" s="51" t="s">
        <v>475</v>
      </c>
      <c r="O124" s="51" t="s">
        <v>476</v>
      </c>
      <c r="P124" s="51" t="s">
        <v>477</v>
      </c>
      <c r="Q124" s="51" t="s">
        <v>478</v>
      </c>
    </row>
    <row r="125" spans="2:17" ht="17.2" customHeight="1">
      <c r="B125" s="52" t="s">
        <v>519</v>
      </c>
      <c r="C125" s="52" t="s">
        <v>214</v>
      </c>
      <c r="E125" s="51" t="s">
        <v>480</v>
      </c>
      <c r="F125" s="74" t="s">
        <v>614</v>
      </c>
      <c r="G125" s="74" t="s">
        <v>614</v>
      </c>
      <c r="H125" s="158" t="s">
        <v>637</v>
      </c>
      <c r="I125" s="159"/>
      <c r="J125" s="159"/>
      <c r="K125" s="159"/>
      <c r="L125" s="159"/>
      <c r="M125" s="159"/>
      <c r="N125" s="159"/>
      <c r="O125" s="159"/>
      <c r="P125" s="159"/>
      <c r="Q125" s="160"/>
    </row>
    <row r="126" spans="2:17">
      <c r="E126" s="51" t="s">
        <v>481</v>
      </c>
      <c r="F126" s="158" t="s">
        <v>725</v>
      </c>
      <c r="G126" s="159"/>
      <c r="H126" s="159"/>
      <c r="I126" s="159"/>
      <c r="J126" s="159"/>
      <c r="K126" s="159"/>
      <c r="L126" s="159"/>
      <c r="M126" s="159"/>
      <c r="N126" s="159"/>
      <c r="O126" s="159"/>
      <c r="P126" s="159"/>
      <c r="Q126" s="160"/>
    </row>
    <row r="127" spans="2:17">
      <c r="E127" s="51" t="s">
        <v>458</v>
      </c>
      <c r="F127" s="158" t="s">
        <v>483</v>
      </c>
      <c r="G127" s="159"/>
      <c r="H127" s="159"/>
      <c r="I127" s="159"/>
      <c r="J127" s="159"/>
      <c r="K127" s="159"/>
      <c r="L127" s="159"/>
      <c r="M127" s="159"/>
      <c r="N127" s="159"/>
      <c r="O127" s="159"/>
      <c r="P127" s="159"/>
      <c r="Q127" s="160"/>
    </row>
    <row r="128" spans="2:17">
      <c r="E128" s="51" t="s">
        <v>461</v>
      </c>
      <c r="F128" s="158" t="s">
        <v>321</v>
      </c>
      <c r="G128" s="159"/>
      <c r="H128" s="159"/>
      <c r="I128" s="159"/>
      <c r="J128" s="159"/>
      <c r="K128" s="159"/>
      <c r="L128" s="159"/>
      <c r="M128" s="159"/>
      <c r="N128" s="159"/>
      <c r="O128" s="159"/>
      <c r="P128" s="159"/>
      <c r="Q128" s="160"/>
    </row>
    <row r="129" spans="2:17">
      <c r="E129" s="51" t="s">
        <v>485</v>
      </c>
      <c r="F129" s="161" t="s">
        <v>647</v>
      </c>
      <c r="G129" s="162"/>
      <c r="H129" s="162"/>
      <c r="I129" s="162"/>
      <c r="J129" s="162"/>
      <c r="K129" s="162"/>
      <c r="L129" s="162"/>
      <c r="M129" s="162"/>
      <c r="N129" s="162"/>
      <c r="O129" s="162"/>
      <c r="P129" s="162"/>
      <c r="Q129" s="163"/>
    </row>
    <row r="131" spans="2:17">
      <c r="B131" s="50" t="s">
        <v>465</v>
      </c>
      <c r="C131" s="50" t="s">
        <v>466</v>
      </c>
      <c r="E131" s="51"/>
      <c r="F131" s="51" t="s">
        <v>467</v>
      </c>
      <c r="G131" s="51" t="s">
        <v>468</v>
      </c>
      <c r="H131" s="51" t="s">
        <v>469</v>
      </c>
      <c r="I131" s="51" t="s">
        <v>470</v>
      </c>
      <c r="J131" s="51" t="s">
        <v>471</v>
      </c>
      <c r="K131" s="51" t="s">
        <v>472</v>
      </c>
      <c r="L131" s="51" t="s">
        <v>473</v>
      </c>
      <c r="M131" s="51" t="s">
        <v>474</v>
      </c>
      <c r="N131" s="51" t="s">
        <v>475</v>
      </c>
      <c r="O131" s="51" t="s">
        <v>476</v>
      </c>
      <c r="P131" s="51" t="s">
        <v>477</v>
      </c>
      <c r="Q131" s="51" t="s">
        <v>478</v>
      </c>
    </row>
    <row r="132" spans="2:17" ht="17.2" customHeight="1">
      <c r="B132" s="52" t="s">
        <v>520</v>
      </c>
      <c r="C132" s="52" t="s">
        <v>217</v>
      </c>
      <c r="E132" s="51" t="s">
        <v>480</v>
      </c>
      <c r="F132" s="74" t="s">
        <v>614</v>
      </c>
      <c r="G132" s="74" t="s">
        <v>614</v>
      </c>
      <c r="H132" s="158" t="s">
        <v>646</v>
      </c>
      <c r="I132" s="159"/>
      <c r="J132" s="159"/>
      <c r="K132" s="159"/>
      <c r="L132" s="159"/>
      <c r="M132" s="159"/>
      <c r="N132" s="159"/>
      <c r="O132" s="159"/>
      <c r="P132" s="159"/>
      <c r="Q132" s="160"/>
    </row>
    <row r="133" spans="2:17">
      <c r="E133" s="51" t="s">
        <v>481</v>
      </c>
      <c r="F133" s="158" t="s">
        <v>725</v>
      </c>
      <c r="G133" s="159"/>
      <c r="H133" s="159"/>
      <c r="I133" s="159"/>
      <c r="J133" s="159"/>
      <c r="K133" s="159"/>
      <c r="L133" s="159"/>
      <c r="M133" s="159"/>
      <c r="N133" s="159"/>
      <c r="O133" s="159"/>
      <c r="P133" s="159"/>
      <c r="Q133" s="160"/>
    </row>
    <row r="134" spans="2:17">
      <c r="E134" s="51" t="s">
        <v>458</v>
      </c>
      <c r="F134" s="158" t="s">
        <v>483</v>
      </c>
      <c r="G134" s="159"/>
      <c r="H134" s="159"/>
      <c r="I134" s="159"/>
      <c r="J134" s="159"/>
      <c r="K134" s="159"/>
      <c r="L134" s="159"/>
      <c r="M134" s="159"/>
      <c r="N134" s="159"/>
      <c r="O134" s="159"/>
      <c r="P134" s="159"/>
      <c r="Q134" s="160"/>
    </row>
    <row r="135" spans="2:17">
      <c r="E135" s="51" t="s">
        <v>461</v>
      </c>
      <c r="F135" s="158" t="s">
        <v>321</v>
      </c>
      <c r="G135" s="159"/>
      <c r="H135" s="159"/>
      <c r="I135" s="159"/>
      <c r="J135" s="159"/>
      <c r="K135" s="159"/>
      <c r="L135" s="159"/>
      <c r="M135" s="159"/>
      <c r="N135" s="159"/>
      <c r="O135" s="159"/>
      <c r="P135" s="159"/>
      <c r="Q135" s="160"/>
    </row>
    <row r="136" spans="2:17" ht="17.2" customHeight="1">
      <c r="E136" s="51" t="s">
        <v>485</v>
      </c>
      <c r="F136" s="161" t="s">
        <v>648</v>
      </c>
      <c r="G136" s="162"/>
      <c r="H136" s="162"/>
      <c r="I136" s="162"/>
      <c r="J136" s="162"/>
      <c r="K136" s="162"/>
      <c r="L136" s="162"/>
      <c r="M136" s="162"/>
      <c r="N136" s="162"/>
      <c r="O136" s="162"/>
      <c r="P136" s="162"/>
      <c r="Q136" s="163"/>
    </row>
    <row r="138" spans="2:17">
      <c r="B138" s="50" t="s">
        <v>465</v>
      </c>
      <c r="C138" s="50" t="s">
        <v>466</v>
      </c>
      <c r="E138" s="51"/>
      <c r="F138" s="51" t="s">
        <v>467</v>
      </c>
      <c r="G138" s="51" t="s">
        <v>468</v>
      </c>
      <c r="H138" s="51" t="s">
        <v>469</v>
      </c>
      <c r="I138" s="51" t="s">
        <v>470</v>
      </c>
      <c r="J138" s="51" t="s">
        <v>471</v>
      </c>
      <c r="K138" s="51" t="s">
        <v>472</v>
      </c>
      <c r="L138" s="51" t="s">
        <v>473</v>
      </c>
      <c r="M138" s="51" t="s">
        <v>474</v>
      </c>
      <c r="N138" s="51" t="s">
        <v>475</v>
      </c>
      <c r="O138" s="51" t="s">
        <v>476</v>
      </c>
      <c r="P138" s="51" t="s">
        <v>477</v>
      </c>
      <c r="Q138" s="51" t="s">
        <v>478</v>
      </c>
    </row>
    <row r="139" spans="2:17" ht="17.2" customHeight="1">
      <c r="B139" s="52" t="s">
        <v>521</v>
      </c>
      <c r="C139" s="52" t="s">
        <v>220</v>
      </c>
      <c r="E139" s="51" t="s">
        <v>480</v>
      </c>
      <c r="F139" s="74" t="s">
        <v>614</v>
      </c>
      <c r="G139" s="74" t="s">
        <v>614</v>
      </c>
      <c r="H139" s="158" t="s">
        <v>645</v>
      </c>
      <c r="I139" s="159"/>
      <c r="J139" s="159"/>
      <c r="K139" s="159"/>
      <c r="L139" s="159"/>
      <c r="M139" s="159"/>
      <c r="N139" s="159"/>
      <c r="O139" s="159"/>
      <c r="P139" s="159"/>
      <c r="Q139" s="160"/>
    </row>
    <row r="140" spans="2:17">
      <c r="E140" s="51" t="s">
        <v>481</v>
      </c>
      <c r="F140" s="158" t="s">
        <v>726</v>
      </c>
      <c r="G140" s="159"/>
      <c r="H140" s="159"/>
      <c r="I140" s="159"/>
      <c r="J140" s="159"/>
      <c r="K140" s="159"/>
      <c r="L140" s="159"/>
      <c r="M140" s="159"/>
      <c r="N140" s="159"/>
      <c r="O140" s="159"/>
      <c r="P140" s="159"/>
      <c r="Q140" s="160"/>
    </row>
    <row r="141" spans="2:17">
      <c r="E141" s="51" t="s">
        <v>458</v>
      </c>
      <c r="F141" s="158" t="s">
        <v>483</v>
      </c>
      <c r="G141" s="159"/>
      <c r="H141" s="159"/>
      <c r="I141" s="159"/>
      <c r="J141" s="159"/>
      <c r="K141" s="159"/>
      <c r="L141" s="159"/>
      <c r="M141" s="159"/>
      <c r="N141" s="159"/>
      <c r="O141" s="159"/>
      <c r="P141" s="159"/>
      <c r="Q141" s="160"/>
    </row>
    <row r="142" spans="2:17">
      <c r="E142" s="51" t="s">
        <v>461</v>
      </c>
      <c r="F142" s="158" t="s">
        <v>321</v>
      </c>
      <c r="G142" s="159"/>
      <c r="H142" s="159"/>
      <c r="I142" s="159"/>
      <c r="J142" s="159"/>
      <c r="K142" s="159"/>
      <c r="L142" s="159"/>
      <c r="M142" s="159"/>
      <c r="N142" s="159"/>
      <c r="O142" s="159"/>
      <c r="P142" s="159"/>
      <c r="Q142" s="160"/>
    </row>
    <row r="143" spans="2:17" ht="16.5" customHeight="1">
      <c r="E143" s="51" t="s">
        <v>485</v>
      </c>
      <c r="F143" s="161" t="s">
        <v>649</v>
      </c>
      <c r="G143" s="162"/>
      <c r="H143" s="162"/>
      <c r="I143" s="162"/>
      <c r="J143" s="162"/>
      <c r="K143" s="162"/>
      <c r="L143" s="162"/>
      <c r="M143" s="162"/>
      <c r="N143" s="162"/>
      <c r="O143" s="162"/>
      <c r="P143" s="162"/>
      <c r="Q143" s="163"/>
    </row>
    <row r="145" spans="2:17">
      <c r="B145" s="50" t="s">
        <v>465</v>
      </c>
      <c r="C145" s="50" t="s">
        <v>466</v>
      </c>
      <c r="E145" s="51"/>
      <c r="F145" s="51" t="s">
        <v>467</v>
      </c>
      <c r="G145" s="51" t="s">
        <v>468</v>
      </c>
      <c r="H145" s="51" t="s">
        <v>469</v>
      </c>
      <c r="I145" s="51" t="s">
        <v>470</v>
      </c>
      <c r="J145" s="51" t="s">
        <v>471</v>
      </c>
      <c r="K145" s="51" t="s">
        <v>472</v>
      </c>
      <c r="L145" s="51" t="s">
        <v>473</v>
      </c>
      <c r="M145" s="51" t="s">
        <v>474</v>
      </c>
      <c r="N145" s="51" t="s">
        <v>475</v>
      </c>
      <c r="O145" s="51" t="s">
        <v>476</v>
      </c>
      <c r="P145" s="51" t="s">
        <v>477</v>
      </c>
      <c r="Q145" s="51" t="s">
        <v>478</v>
      </c>
    </row>
    <row r="146" spans="2:17" ht="17.2" customHeight="1">
      <c r="B146" s="52" t="s">
        <v>522</v>
      </c>
      <c r="C146" s="52" t="s">
        <v>223</v>
      </c>
      <c r="E146" s="51" t="s">
        <v>480</v>
      </c>
      <c r="F146" s="74" t="s">
        <v>614</v>
      </c>
      <c r="G146" s="74" t="s">
        <v>614</v>
      </c>
      <c r="H146" s="158" t="s">
        <v>644</v>
      </c>
      <c r="I146" s="159"/>
      <c r="J146" s="159"/>
      <c r="K146" s="159"/>
      <c r="L146" s="159"/>
      <c r="M146" s="159"/>
      <c r="N146" s="159"/>
      <c r="O146" s="159"/>
      <c r="P146" s="159"/>
      <c r="Q146" s="160"/>
    </row>
    <row r="147" spans="2:17">
      <c r="E147" s="51" t="s">
        <v>481</v>
      </c>
      <c r="F147" s="158" t="s">
        <v>789</v>
      </c>
      <c r="G147" s="159"/>
      <c r="H147" s="159"/>
      <c r="I147" s="159"/>
      <c r="J147" s="159"/>
      <c r="K147" s="159"/>
      <c r="L147" s="159"/>
      <c r="M147" s="159"/>
      <c r="N147" s="159"/>
      <c r="O147" s="159"/>
      <c r="P147" s="159"/>
      <c r="Q147" s="160"/>
    </row>
    <row r="148" spans="2:17">
      <c r="E148" s="51" t="s">
        <v>458</v>
      </c>
      <c r="F148" s="158" t="s">
        <v>483</v>
      </c>
      <c r="G148" s="159"/>
      <c r="H148" s="159"/>
      <c r="I148" s="159"/>
      <c r="J148" s="159"/>
      <c r="K148" s="159"/>
      <c r="L148" s="159"/>
      <c r="M148" s="159"/>
      <c r="N148" s="159"/>
      <c r="O148" s="159"/>
      <c r="P148" s="159"/>
      <c r="Q148" s="160"/>
    </row>
    <row r="149" spans="2:17">
      <c r="E149" s="51" t="s">
        <v>461</v>
      </c>
      <c r="F149" s="158" t="s">
        <v>321</v>
      </c>
      <c r="G149" s="159"/>
      <c r="H149" s="159"/>
      <c r="I149" s="159"/>
      <c r="J149" s="159"/>
      <c r="K149" s="159"/>
      <c r="L149" s="159"/>
      <c r="M149" s="159"/>
      <c r="N149" s="159"/>
      <c r="O149" s="159"/>
      <c r="P149" s="159"/>
      <c r="Q149" s="160"/>
    </row>
    <row r="150" spans="2:17" ht="16.5" customHeight="1">
      <c r="E150" s="51" t="s">
        <v>485</v>
      </c>
      <c r="F150" s="161" t="s">
        <v>650</v>
      </c>
      <c r="G150" s="162"/>
      <c r="H150" s="162"/>
      <c r="I150" s="162"/>
      <c r="J150" s="162"/>
      <c r="K150" s="162"/>
      <c r="L150" s="162"/>
      <c r="M150" s="162"/>
      <c r="N150" s="162"/>
      <c r="O150" s="162"/>
      <c r="P150" s="162"/>
      <c r="Q150" s="163"/>
    </row>
    <row r="152" spans="2:17">
      <c r="B152" s="50" t="s">
        <v>465</v>
      </c>
      <c r="C152" s="50" t="s">
        <v>466</v>
      </c>
      <c r="E152" s="51"/>
      <c r="F152" s="51" t="s">
        <v>467</v>
      </c>
      <c r="G152" s="51" t="s">
        <v>468</v>
      </c>
      <c r="H152" s="51" t="s">
        <v>469</v>
      </c>
      <c r="I152" s="51" t="s">
        <v>470</v>
      </c>
      <c r="J152" s="51" t="s">
        <v>471</v>
      </c>
      <c r="K152" s="51" t="s">
        <v>472</v>
      </c>
      <c r="L152" s="51" t="s">
        <v>473</v>
      </c>
      <c r="M152" s="51" t="s">
        <v>474</v>
      </c>
      <c r="N152" s="51" t="s">
        <v>475</v>
      </c>
      <c r="O152" s="51" t="s">
        <v>476</v>
      </c>
      <c r="P152" s="51" t="s">
        <v>477</v>
      </c>
      <c r="Q152" s="51" t="s">
        <v>478</v>
      </c>
    </row>
    <row r="153" spans="2:17" ht="17.2" customHeight="1">
      <c r="B153" s="52" t="s">
        <v>523</v>
      </c>
      <c r="C153" s="52" t="s">
        <v>226</v>
      </c>
      <c r="E153" s="51" t="s">
        <v>480</v>
      </c>
      <c r="F153" s="74" t="s">
        <v>614</v>
      </c>
      <c r="G153" s="74" t="s">
        <v>614</v>
      </c>
      <c r="H153" s="158" t="s">
        <v>643</v>
      </c>
      <c r="I153" s="159"/>
      <c r="J153" s="159"/>
      <c r="K153" s="159"/>
      <c r="L153" s="159"/>
      <c r="M153" s="159"/>
      <c r="N153" s="159"/>
      <c r="O153" s="159"/>
      <c r="P153" s="159"/>
      <c r="Q153" s="160"/>
    </row>
    <row r="154" spans="2:17">
      <c r="E154" s="51" t="s">
        <v>481</v>
      </c>
      <c r="F154" s="158" t="s">
        <v>727</v>
      </c>
      <c r="G154" s="159"/>
      <c r="H154" s="159"/>
      <c r="I154" s="159"/>
      <c r="J154" s="159"/>
      <c r="K154" s="159"/>
      <c r="L154" s="159"/>
      <c r="M154" s="159"/>
      <c r="N154" s="159"/>
      <c r="O154" s="159"/>
      <c r="P154" s="159"/>
      <c r="Q154" s="160"/>
    </row>
    <row r="155" spans="2:17">
      <c r="E155" s="51" t="s">
        <v>458</v>
      </c>
      <c r="F155" s="158" t="s">
        <v>483</v>
      </c>
      <c r="G155" s="159"/>
      <c r="H155" s="159"/>
      <c r="I155" s="159"/>
      <c r="J155" s="159"/>
      <c r="K155" s="159"/>
      <c r="L155" s="159"/>
      <c r="M155" s="159"/>
      <c r="N155" s="159"/>
      <c r="O155" s="159"/>
      <c r="P155" s="159"/>
      <c r="Q155" s="160"/>
    </row>
    <row r="156" spans="2:17">
      <c r="E156" s="51" t="s">
        <v>461</v>
      </c>
      <c r="F156" s="158" t="s">
        <v>321</v>
      </c>
      <c r="G156" s="159"/>
      <c r="H156" s="159"/>
      <c r="I156" s="159"/>
      <c r="J156" s="159"/>
      <c r="K156" s="159"/>
      <c r="L156" s="159"/>
      <c r="M156" s="159"/>
      <c r="N156" s="159"/>
      <c r="O156" s="159"/>
      <c r="P156" s="159"/>
      <c r="Q156" s="160"/>
    </row>
    <row r="157" spans="2:17" ht="16.5" customHeight="1">
      <c r="E157" s="51" t="s">
        <v>485</v>
      </c>
      <c r="F157" s="161" t="s">
        <v>651</v>
      </c>
      <c r="G157" s="162"/>
      <c r="H157" s="162"/>
      <c r="I157" s="162"/>
      <c r="J157" s="162"/>
      <c r="K157" s="162"/>
      <c r="L157" s="162"/>
      <c r="M157" s="162"/>
      <c r="N157" s="162"/>
      <c r="O157" s="162"/>
      <c r="P157" s="162"/>
      <c r="Q157" s="163"/>
    </row>
    <row r="159" spans="2:17">
      <c r="B159" s="50" t="s">
        <v>465</v>
      </c>
      <c r="C159" s="50" t="s">
        <v>466</v>
      </c>
      <c r="E159" s="51"/>
      <c r="F159" s="51" t="s">
        <v>467</v>
      </c>
      <c r="G159" s="51" t="s">
        <v>468</v>
      </c>
      <c r="H159" s="51" t="s">
        <v>469</v>
      </c>
      <c r="I159" s="51" t="s">
        <v>470</v>
      </c>
      <c r="J159" s="51" t="s">
        <v>471</v>
      </c>
      <c r="K159" s="51" t="s">
        <v>472</v>
      </c>
      <c r="L159" s="51" t="s">
        <v>473</v>
      </c>
      <c r="M159" s="51" t="s">
        <v>474</v>
      </c>
      <c r="N159" s="51" t="s">
        <v>475</v>
      </c>
      <c r="O159" s="51" t="s">
        <v>476</v>
      </c>
      <c r="P159" s="51" t="s">
        <v>477</v>
      </c>
      <c r="Q159" s="51" t="s">
        <v>478</v>
      </c>
    </row>
    <row r="160" spans="2:17" ht="17.2" customHeight="1">
      <c r="B160" s="52" t="s">
        <v>524</v>
      </c>
      <c r="C160" s="52" t="s">
        <v>525</v>
      </c>
      <c r="E160" s="51" t="s">
        <v>480</v>
      </c>
      <c r="F160" s="74" t="s">
        <v>614</v>
      </c>
      <c r="G160" s="74" t="s">
        <v>614</v>
      </c>
      <c r="H160" s="158" t="s">
        <v>642</v>
      </c>
      <c r="I160" s="159"/>
      <c r="J160" s="159"/>
      <c r="K160" s="159"/>
      <c r="L160" s="159"/>
      <c r="M160" s="159"/>
      <c r="N160" s="159"/>
      <c r="O160" s="159"/>
      <c r="P160" s="159"/>
      <c r="Q160" s="160"/>
    </row>
    <row r="161" spans="2:17">
      <c r="E161" s="51" t="s">
        <v>481</v>
      </c>
      <c r="F161" s="158" t="s">
        <v>790</v>
      </c>
      <c r="G161" s="159"/>
      <c r="H161" s="159"/>
      <c r="I161" s="159"/>
      <c r="J161" s="159"/>
      <c r="K161" s="159"/>
      <c r="L161" s="159"/>
      <c r="M161" s="159"/>
      <c r="N161" s="159"/>
      <c r="O161" s="159"/>
      <c r="P161" s="159"/>
      <c r="Q161" s="160"/>
    </row>
    <row r="162" spans="2:17">
      <c r="E162" s="51" t="s">
        <v>458</v>
      </c>
      <c r="F162" s="158" t="s">
        <v>483</v>
      </c>
      <c r="G162" s="159"/>
      <c r="H162" s="159"/>
      <c r="I162" s="159"/>
      <c r="J162" s="159"/>
      <c r="K162" s="159"/>
      <c r="L162" s="159"/>
      <c r="M162" s="159"/>
      <c r="N162" s="159"/>
      <c r="O162" s="159"/>
      <c r="P162" s="159"/>
      <c r="Q162" s="160"/>
    </row>
    <row r="163" spans="2:17">
      <c r="E163" s="51" t="s">
        <v>461</v>
      </c>
      <c r="F163" s="158" t="s">
        <v>321</v>
      </c>
      <c r="G163" s="159"/>
      <c r="H163" s="159"/>
      <c r="I163" s="159"/>
      <c r="J163" s="159"/>
      <c r="K163" s="159"/>
      <c r="L163" s="159"/>
      <c r="M163" s="159"/>
      <c r="N163" s="159"/>
      <c r="O163" s="159"/>
      <c r="P163" s="159"/>
      <c r="Q163" s="160"/>
    </row>
    <row r="164" spans="2:17" ht="16.5" customHeight="1">
      <c r="E164" s="51" t="s">
        <v>485</v>
      </c>
      <c r="F164" s="161" t="s">
        <v>652</v>
      </c>
      <c r="G164" s="162"/>
      <c r="H164" s="162"/>
      <c r="I164" s="162"/>
      <c r="J164" s="162"/>
      <c r="K164" s="162"/>
      <c r="L164" s="162"/>
      <c r="M164" s="162"/>
      <c r="N164" s="162"/>
      <c r="O164" s="162"/>
      <c r="P164" s="162"/>
      <c r="Q164" s="163"/>
    </row>
    <row r="166" spans="2:17">
      <c r="B166" s="50" t="s">
        <v>465</v>
      </c>
      <c r="C166" s="50" t="s">
        <v>466</v>
      </c>
      <c r="E166" s="51"/>
      <c r="F166" s="51" t="s">
        <v>467</v>
      </c>
      <c r="G166" s="51" t="s">
        <v>468</v>
      </c>
      <c r="H166" s="51" t="s">
        <v>469</v>
      </c>
      <c r="I166" s="51" t="s">
        <v>470</v>
      </c>
      <c r="J166" s="51" t="s">
        <v>471</v>
      </c>
      <c r="K166" s="51" t="s">
        <v>472</v>
      </c>
      <c r="L166" s="51" t="s">
        <v>473</v>
      </c>
      <c r="M166" s="51" t="s">
        <v>474</v>
      </c>
      <c r="N166" s="51" t="s">
        <v>475</v>
      </c>
      <c r="O166" s="51" t="s">
        <v>476</v>
      </c>
      <c r="P166" s="51" t="s">
        <v>477</v>
      </c>
      <c r="Q166" s="51" t="s">
        <v>478</v>
      </c>
    </row>
    <row r="167" spans="2:17" ht="17.2" customHeight="1">
      <c r="B167" s="52" t="s">
        <v>526</v>
      </c>
      <c r="C167" s="52" t="s">
        <v>527</v>
      </c>
      <c r="E167" s="51" t="s">
        <v>480</v>
      </c>
      <c r="F167" s="74" t="s">
        <v>614</v>
      </c>
      <c r="G167" s="74" t="s">
        <v>614</v>
      </c>
      <c r="H167" s="158" t="s">
        <v>641</v>
      </c>
      <c r="I167" s="159"/>
      <c r="J167" s="159"/>
      <c r="K167" s="159"/>
      <c r="L167" s="159"/>
      <c r="M167" s="159"/>
      <c r="N167" s="159"/>
      <c r="O167" s="159"/>
      <c r="P167" s="159"/>
      <c r="Q167" s="160"/>
    </row>
    <row r="168" spans="2:17">
      <c r="E168" s="51" t="s">
        <v>481</v>
      </c>
      <c r="F168" s="158" t="s">
        <v>728</v>
      </c>
      <c r="G168" s="159"/>
      <c r="H168" s="159"/>
      <c r="I168" s="159"/>
      <c r="J168" s="159"/>
      <c r="K168" s="159"/>
      <c r="L168" s="159"/>
      <c r="M168" s="159"/>
      <c r="N168" s="159"/>
      <c r="O168" s="159"/>
      <c r="P168" s="159"/>
      <c r="Q168" s="160"/>
    </row>
    <row r="169" spans="2:17">
      <c r="E169" s="51" t="s">
        <v>458</v>
      </c>
      <c r="F169" s="158" t="s">
        <v>483</v>
      </c>
      <c r="G169" s="159"/>
      <c r="H169" s="159"/>
      <c r="I169" s="159"/>
      <c r="J169" s="159"/>
      <c r="K169" s="159"/>
      <c r="L169" s="159"/>
      <c r="M169" s="159"/>
      <c r="N169" s="159"/>
      <c r="O169" s="159"/>
      <c r="P169" s="159"/>
      <c r="Q169" s="160"/>
    </row>
    <row r="170" spans="2:17">
      <c r="E170" s="51" t="s">
        <v>461</v>
      </c>
      <c r="F170" s="158" t="s">
        <v>321</v>
      </c>
      <c r="G170" s="159"/>
      <c r="H170" s="159"/>
      <c r="I170" s="159"/>
      <c r="J170" s="159"/>
      <c r="K170" s="159"/>
      <c r="L170" s="159"/>
      <c r="M170" s="159"/>
      <c r="N170" s="159"/>
      <c r="O170" s="159"/>
      <c r="P170" s="159"/>
      <c r="Q170" s="160"/>
    </row>
    <row r="171" spans="2:17" ht="16.5" customHeight="1">
      <c r="E171" s="51" t="s">
        <v>485</v>
      </c>
      <c r="F171" s="161" t="s">
        <v>653</v>
      </c>
      <c r="G171" s="162"/>
      <c r="H171" s="162"/>
      <c r="I171" s="162"/>
      <c r="J171" s="162"/>
      <c r="K171" s="162"/>
      <c r="L171" s="162"/>
      <c r="M171" s="162"/>
      <c r="N171" s="162"/>
      <c r="O171" s="162"/>
      <c r="P171" s="162"/>
      <c r="Q171" s="163"/>
    </row>
    <row r="173" spans="2:17">
      <c r="B173" s="50" t="s">
        <v>465</v>
      </c>
      <c r="C173" s="50" t="s">
        <v>466</v>
      </c>
      <c r="E173" s="51"/>
      <c r="F173" s="51" t="s">
        <v>467</v>
      </c>
      <c r="G173" s="51" t="s">
        <v>468</v>
      </c>
      <c r="H173" s="51" t="s">
        <v>469</v>
      </c>
      <c r="I173" s="51" t="s">
        <v>470</v>
      </c>
      <c r="J173" s="51" t="s">
        <v>471</v>
      </c>
      <c r="K173" s="51" t="s">
        <v>472</v>
      </c>
      <c r="L173" s="51" t="s">
        <v>473</v>
      </c>
      <c r="M173" s="51" t="s">
        <v>474</v>
      </c>
      <c r="N173" s="51" t="s">
        <v>475</v>
      </c>
      <c r="O173" s="51" t="s">
        <v>476</v>
      </c>
      <c r="P173" s="51" t="s">
        <v>477</v>
      </c>
      <c r="Q173" s="51" t="s">
        <v>478</v>
      </c>
    </row>
    <row r="174" spans="2:17" ht="17.2" customHeight="1">
      <c r="B174" s="52" t="s">
        <v>528</v>
      </c>
      <c r="C174" s="52" t="s">
        <v>529</v>
      </c>
      <c r="E174" s="51" t="s">
        <v>480</v>
      </c>
      <c r="F174" s="74" t="s">
        <v>614</v>
      </c>
      <c r="G174" s="74" t="s">
        <v>614</v>
      </c>
      <c r="H174" s="158" t="s">
        <v>640</v>
      </c>
      <c r="I174" s="159"/>
      <c r="J174" s="159"/>
      <c r="K174" s="159"/>
      <c r="L174" s="159"/>
      <c r="M174" s="159"/>
      <c r="N174" s="159"/>
      <c r="O174" s="159"/>
      <c r="P174" s="159"/>
      <c r="Q174" s="160"/>
    </row>
    <row r="175" spans="2:17">
      <c r="E175" s="51" t="s">
        <v>481</v>
      </c>
      <c r="F175" s="158" t="s">
        <v>791</v>
      </c>
      <c r="G175" s="159"/>
      <c r="H175" s="159"/>
      <c r="I175" s="159"/>
      <c r="J175" s="159"/>
      <c r="K175" s="159"/>
      <c r="L175" s="159"/>
      <c r="M175" s="159"/>
      <c r="N175" s="159"/>
      <c r="O175" s="159"/>
      <c r="P175" s="159"/>
      <c r="Q175" s="160"/>
    </row>
    <row r="176" spans="2:17">
      <c r="E176" s="51" t="s">
        <v>458</v>
      </c>
      <c r="F176" s="158" t="s">
        <v>483</v>
      </c>
      <c r="G176" s="159"/>
      <c r="H176" s="159"/>
      <c r="I176" s="159"/>
      <c r="J176" s="159"/>
      <c r="K176" s="159"/>
      <c r="L176" s="159"/>
      <c r="M176" s="159"/>
      <c r="N176" s="159"/>
      <c r="O176" s="159"/>
      <c r="P176" s="159"/>
      <c r="Q176" s="160"/>
    </row>
    <row r="177" spans="2:17">
      <c r="E177" s="51" t="s">
        <v>461</v>
      </c>
      <c r="F177" s="158" t="s">
        <v>321</v>
      </c>
      <c r="G177" s="159"/>
      <c r="H177" s="159"/>
      <c r="I177" s="159"/>
      <c r="J177" s="159"/>
      <c r="K177" s="159"/>
      <c r="L177" s="159"/>
      <c r="M177" s="159"/>
      <c r="N177" s="159"/>
      <c r="O177" s="159"/>
      <c r="P177" s="159"/>
      <c r="Q177" s="160"/>
    </row>
    <row r="178" spans="2:17" ht="16.5" customHeight="1">
      <c r="E178" s="51" t="s">
        <v>485</v>
      </c>
      <c r="F178" s="161" t="s">
        <v>654</v>
      </c>
      <c r="G178" s="162"/>
      <c r="H178" s="162"/>
      <c r="I178" s="162"/>
      <c r="J178" s="162"/>
      <c r="K178" s="162"/>
      <c r="L178" s="162"/>
      <c r="M178" s="162"/>
      <c r="N178" s="162"/>
      <c r="O178" s="162"/>
      <c r="P178" s="162"/>
      <c r="Q178" s="163"/>
    </row>
    <row r="180" spans="2:17">
      <c r="B180" s="50" t="s">
        <v>465</v>
      </c>
      <c r="C180" s="50" t="s">
        <v>466</v>
      </c>
      <c r="E180" s="51"/>
      <c r="F180" s="51" t="s">
        <v>467</v>
      </c>
      <c r="G180" s="51" t="s">
        <v>468</v>
      </c>
      <c r="H180" s="51" t="s">
        <v>469</v>
      </c>
      <c r="I180" s="51" t="s">
        <v>470</v>
      </c>
      <c r="J180" s="51" t="s">
        <v>471</v>
      </c>
      <c r="K180" s="51" t="s">
        <v>472</v>
      </c>
      <c r="L180" s="51" t="s">
        <v>473</v>
      </c>
      <c r="M180" s="51" t="s">
        <v>474</v>
      </c>
      <c r="N180" s="51" t="s">
        <v>475</v>
      </c>
      <c r="O180" s="51" t="s">
        <v>476</v>
      </c>
      <c r="P180" s="51" t="s">
        <v>477</v>
      </c>
      <c r="Q180" s="51" t="s">
        <v>478</v>
      </c>
    </row>
    <row r="181" spans="2:17" ht="17.2" customHeight="1">
      <c r="B181" s="52" t="s">
        <v>530</v>
      </c>
      <c r="C181" s="52" t="s">
        <v>531</v>
      </c>
      <c r="E181" s="51" t="s">
        <v>480</v>
      </c>
      <c r="F181" s="74" t="s">
        <v>614</v>
      </c>
      <c r="G181" s="74" t="s">
        <v>614</v>
      </c>
      <c r="H181" s="158" t="s">
        <v>639</v>
      </c>
      <c r="I181" s="159"/>
      <c r="J181" s="159"/>
      <c r="K181" s="159"/>
      <c r="L181" s="159"/>
      <c r="M181" s="159"/>
      <c r="N181" s="159"/>
      <c r="O181" s="159"/>
      <c r="P181" s="159"/>
      <c r="Q181" s="160"/>
    </row>
    <row r="182" spans="2:17">
      <c r="E182" s="51" t="s">
        <v>481</v>
      </c>
      <c r="F182" s="158" t="s">
        <v>792</v>
      </c>
      <c r="G182" s="159"/>
      <c r="H182" s="159"/>
      <c r="I182" s="159"/>
      <c r="J182" s="159"/>
      <c r="K182" s="159"/>
      <c r="L182" s="159"/>
      <c r="M182" s="159"/>
      <c r="N182" s="159"/>
      <c r="O182" s="159"/>
      <c r="P182" s="159"/>
      <c r="Q182" s="160"/>
    </row>
    <row r="183" spans="2:17">
      <c r="E183" s="51" t="s">
        <v>458</v>
      </c>
      <c r="F183" s="158" t="s">
        <v>483</v>
      </c>
      <c r="G183" s="159"/>
      <c r="H183" s="159"/>
      <c r="I183" s="159"/>
      <c r="J183" s="159"/>
      <c r="K183" s="159"/>
      <c r="L183" s="159"/>
      <c r="M183" s="159"/>
      <c r="N183" s="159"/>
      <c r="O183" s="159"/>
      <c r="P183" s="159"/>
      <c r="Q183" s="160"/>
    </row>
    <row r="184" spans="2:17">
      <c r="E184" s="51" t="s">
        <v>461</v>
      </c>
      <c r="F184" s="158" t="s">
        <v>321</v>
      </c>
      <c r="G184" s="159"/>
      <c r="H184" s="159"/>
      <c r="I184" s="159"/>
      <c r="J184" s="159"/>
      <c r="K184" s="159"/>
      <c r="L184" s="159"/>
      <c r="M184" s="159"/>
      <c r="N184" s="159"/>
      <c r="O184" s="159"/>
      <c r="P184" s="159"/>
      <c r="Q184" s="160"/>
    </row>
    <row r="185" spans="2:17" ht="16.5" customHeight="1">
      <c r="E185" s="51" t="s">
        <v>485</v>
      </c>
      <c r="F185" s="161" t="s">
        <v>655</v>
      </c>
      <c r="G185" s="162"/>
      <c r="H185" s="162"/>
      <c r="I185" s="162"/>
      <c r="J185" s="162"/>
      <c r="K185" s="162"/>
      <c r="L185" s="162"/>
      <c r="M185" s="162"/>
      <c r="N185" s="162"/>
      <c r="O185" s="162"/>
      <c r="P185" s="162"/>
      <c r="Q185" s="163"/>
    </row>
    <row r="187" spans="2:17">
      <c r="B187" s="50" t="s">
        <v>465</v>
      </c>
      <c r="C187" s="50" t="s">
        <v>466</v>
      </c>
      <c r="E187" s="51"/>
      <c r="F187" s="51" t="s">
        <v>467</v>
      </c>
      <c r="G187" s="51" t="s">
        <v>468</v>
      </c>
      <c r="H187" s="51" t="s">
        <v>469</v>
      </c>
      <c r="I187" s="51" t="s">
        <v>470</v>
      </c>
      <c r="J187" s="51" t="s">
        <v>471</v>
      </c>
      <c r="K187" s="51" t="s">
        <v>472</v>
      </c>
      <c r="L187" s="51" t="s">
        <v>473</v>
      </c>
      <c r="M187" s="51" t="s">
        <v>474</v>
      </c>
      <c r="N187" s="51" t="s">
        <v>475</v>
      </c>
      <c r="O187" s="51" t="s">
        <v>476</v>
      </c>
      <c r="P187" s="51" t="s">
        <v>477</v>
      </c>
      <c r="Q187" s="51" t="s">
        <v>478</v>
      </c>
    </row>
    <row r="188" spans="2:17" ht="17.2" customHeight="1">
      <c r="B188" s="52" t="s">
        <v>532</v>
      </c>
      <c r="C188" s="52" t="s">
        <v>533</v>
      </c>
      <c r="E188" s="51" t="s">
        <v>480</v>
      </c>
      <c r="F188" s="74" t="s">
        <v>614</v>
      </c>
      <c r="G188" s="74" t="s">
        <v>614</v>
      </c>
      <c r="H188" s="158" t="s">
        <v>638</v>
      </c>
      <c r="I188" s="159"/>
      <c r="J188" s="159"/>
      <c r="K188" s="159"/>
      <c r="L188" s="159"/>
      <c r="M188" s="159"/>
      <c r="N188" s="159"/>
      <c r="O188" s="159"/>
      <c r="P188" s="159"/>
      <c r="Q188" s="160"/>
    </row>
    <row r="189" spans="2:17">
      <c r="E189" s="51" t="s">
        <v>481</v>
      </c>
      <c r="F189" s="158" t="s">
        <v>793</v>
      </c>
      <c r="G189" s="159"/>
      <c r="H189" s="159"/>
      <c r="I189" s="159"/>
      <c r="J189" s="159"/>
      <c r="K189" s="159"/>
      <c r="L189" s="159"/>
      <c r="M189" s="159"/>
      <c r="N189" s="159"/>
      <c r="O189" s="159"/>
      <c r="P189" s="159"/>
      <c r="Q189" s="160"/>
    </row>
    <row r="190" spans="2:17">
      <c r="E190" s="51" t="s">
        <v>458</v>
      </c>
      <c r="F190" s="158" t="s">
        <v>483</v>
      </c>
      <c r="G190" s="159"/>
      <c r="H190" s="159"/>
      <c r="I190" s="159"/>
      <c r="J190" s="159"/>
      <c r="K190" s="159"/>
      <c r="L190" s="159"/>
      <c r="M190" s="159"/>
      <c r="N190" s="159"/>
      <c r="O190" s="159"/>
      <c r="P190" s="159"/>
      <c r="Q190" s="160"/>
    </row>
    <row r="191" spans="2:17">
      <c r="E191" s="51" t="s">
        <v>461</v>
      </c>
      <c r="F191" s="158" t="s">
        <v>321</v>
      </c>
      <c r="G191" s="159"/>
      <c r="H191" s="159"/>
      <c r="I191" s="159"/>
      <c r="J191" s="159"/>
      <c r="K191" s="159"/>
      <c r="L191" s="159"/>
      <c r="M191" s="159"/>
      <c r="N191" s="159"/>
      <c r="O191" s="159"/>
      <c r="P191" s="159"/>
      <c r="Q191" s="160"/>
    </row>
    <row r="192" spans="2:17" ht="16.5" customHeight="1">
      <c r="E192" s="51" t="s">
        <v>485</v>
      </c>
      <c r="F192" s="161" t="s">
        <v>656</v>
      </c>
      <c r="G192" s="162"/>
      <c r="H192" s="162"/>
      <c r="I192" s="162"/>
      <c r="J192" s="162"/>
      <c r="K192" s="162"/>
      <c r="L192" s="162"/>
      <c r="M192" s="162"/>
      <c r="N192" s="162"/>
      <c r="O192" s="162"/>
      <c r="P192" s="162"/>
      <c r="Q192" s="163"/>
    </row>
    <row r="194" spans="2:17">
      <c r="B194" s="50" t="s">
        <v>465</v>
      </c>
      <c r="C194" s="50" t="s">
        <v>466</v>
      </c>
      <c r="E194" s="51"/>
      <c r="F194" s="51" t="s">
        <v>467</v>
      </c>
      <c r="G194" s="51" t="s">
        <v>468</v>
      </c>
      <c r="H194" s="51" t="s">
        <v>469</v>
      </c>
      <c r="I194" s="51" t="s">
        <v>470</v>
      </c>
      <c r="J194" s="51" t="s">
        <v>471</v>
      </c>
      <c r="K194" s="51" t="s">
        <v>472</v>
      </c>
      <c r="L194" s="51" t="s">
        <v>473</v>
      </c>
      <c r="M194" s="51" t="s">
        <v>474</v>
      </c>
      <c r="N194" s="51" t="s">
        <v>475</v>
      </c>
      <c r="O194" s="51" t="s">
        <v>476</v>
      </c>
      <c r="P194" s="51" t="s">
        <v>477</v>
      </c>
      <c r="Q194" s="51" t="s">
        <v>478</v>
      </c>
    </row>
    <row r="195" spans="2:17" ht="17.2" customHeight="1">
      <c r="B195" s="52" t="s">
        <v>770</v>
      </c>
      <c r="C195" s="52" t="s">
        <v>771</v>
      </c>
      <c r="E195" s="51" t="s">
        <v>480</v>
      </c>
      <c r="F195" s="158" t="s">
        <v>772</v>
      </c>
      <c r="G195" s="159"/>
      <c r="H195" s="159"/>
      <c r="I195" s="159"/>
      <c r="J195" s="159"/>
      <c r="K195" s="159"/>
      <c r="L195" s="159"/>
      <c r="M195" s="159"/>
      <c r="N195" s="159"/>
      <c r="O195" s="159"/>
      <c r="P195" s="159"/>
      <c r="Q195" s="160"/>
    </row>
    <row r="196" spans="2:17">
      <c r="E196" s="51" t="s">
        <v>481</v>
      </c>
      <c r="F196" s="158" t="s">
        <v>775</v>
      </c>
      <c r="G196" s="159"/>
      <c r="H196" s="159"/>
      <c r="I196" s="159"/>
      <c r="J196" s="159"/>
      <c r="K196" s="159"/>
      <c r="L196" s="159"/>
      <c r="M196" s="159"/>
      <c r="N196" s="159"/>
      <c r="O196" s="159"/>
      <c r="P196" s="159"/>
      <c r="Q196" s="160"/>
    </row>
    <row r="197" spans="2:17">
      <c r="E197" s="51" t="s">
        <v>458</v>
      </c>
      <c r="F197" s="158" t="s">
        <v>483</v>
      </c>
      <c r="G197" s="159"/>
      <c r="H197" s="159"/>
      <c r="I197" s="159"/>
      <c r="J197" s="159"/>
      <c r="K197" s="159"/>
      <c r="L197" s="159"/>
      <c r="M197" s="159"/>
      <c r="N197" s="159"/>
      <c r="O197" s="159"/>
      <c r="P197" s="159"/>
      <c r="Q197" s="160"/>
    </row>
    <row r="198" spans="2:17">
      <c r="E198" s="51" t="s">
        <v>461</v>
      </c>
      <c r="F198" s="158" t="s">
        <v>321</v>
      </c>
      <c r="G198" s="159"/>
      <c r="H198" s="159"/>
      <c r="I198" s="159"/>
      <c r="J198" s="159"/>
      <c r="K198" s="159"/>
      <c r="L198" s="159"/>
      <c r="M198" s="159"/>
      <c r="N198" s="159"/>
      <c r="O198" s="159"/>
      <c r="P198" s="159"/>
      <c r="Q198" s="160"/>
    </row>
    <row r="199" spans="2:17" ht="16.5" customHeight="1">
      <c r="E199" s="51" t="s">
        <v>485</v>
      </c>
      <c r="F199" s="161" t="s">
        <v>773</v>
      </c>
      <c r="G199" s="162"/>
      <c r="H199" s="162"/>
      <c r="I199" s="162"/>
      <c r="J199" s="162"/>
      <c r="K199" s="162"/>
      <c r="L199" s="162"/>
      <c r="M199" s="162"/>
      <c r="N199" s="162"/>
      <c r="O199" s="162"/>
      <c r="P199" s="162"/>
      <c r="Q199" s="163"/>
    </row>
  </sheetData>
  <mergeCells count="160">
    <mergeCell ref="F196:Q196"/>
    <mergeCell ref="F197:Q197"/>
    <mergeCell ref="F198:Q198"/>
    <mergeCell ref="F199:Q199"/>
    <mergeCell ref="F195:Q195"/>
    <mergeCell ref="F98:Q98"/>
    <mergeCell ref="F111:Q111"/>
    <mergeCell ref="F112:Q112"/>
    <mergeCell ref="F78:I78"/>
    <mergeCell ref="J79:Q79"/>
    <mergeCell ref="F126:Q126"/>
    <mergeCell ref="F127:Q127"/>
    <mergeCell ref="F128:Q128"/>
    <mergeCell ref="F129:Q129"/>
    <mergeCell ref="H125:Q125"/>
    <mergeCell ref="J78:Q78"/>
    <mergeCell ref="F189:Q189"/>
    <mergeCell ref="F190:Q190"/>
    <mergeCell ref="F191:Q191"/>
    <mergeCell ref="F192:Q192"/>
    <mergeCell ref="F182:Q182"/>
    <mergeCell ref="F183:Q183"/>
    <mergeCell ref="F184:Q184"/>
    <mergeCell ref="F185:Q185"/>
    <mergeCell ref="F74:M74"/>
    <mergeCell ref="F120:Q120"/>
    <mergeCell ref="F121:Q121"/>
    <mergeCell ref="F122:Q122"/>
    <mergeCell ref="N118:Q118"/>
    <mergeCell ref="J118:M118"/>
    <mergeCell ref="F118:I118"/>
    <mergeCell ref="H85:Q85"/>
    <mergeCell ref="H86:Q86"/>
    <mergeCell ref="H90:Q90"/>
    <mergeCell ref="F94:Q94"/>
    <mergeCell ref="H91:Q91"/>
    <mergeCell ref="H92:Q92"/>
    <mergeCell ref="H93:Q93"/>
    <mergeCell ref="F87:Q87"/>
    <mergeCell ref="F119:I119"/>
    <mergeCell ref="J119:M119"/>
    <mergeCell ref="N119:Q119"/>
    <mergeCell ref="F115:Q115"/>
    <mergeCell ref="F107:Q107"/>
    <mergeCell ref="F101:Q101"/>
    <mergeCell ref="F97:Q97"/>
    <mergeCell ref="F79:I79"/>
    <mergeCell ref="F76:I76"/>
    <mergeCell ref="E4:Q4"/>
    <mergeCell ref="E5:Q5"/>
    <mergeCell ref="E6:Q6"/>
    <mergeCell ref="E9:Q9"/>
    <mergeCell ref="E10:Q10"/>
    <mergeCell ref="F35:Q35"/>
    <mergeCell ref="H31:Q31"/>
    <mergeCell ref="P17:Q17"/>
    <mergeCell ref="P18:Q18"/>
    <mergeCell ref="P19:Q19"/>
    <mergeCell ref="P20:Q20"/>
    <mergeCell ref="N17:O17"/>
    <mergeCell ref="N18:O18"/>
    <mergeCell ref="N19:O19"/>
    <mergeCell ref="N20:O20"/>
    <mergeCell ref="E11:Q11"/>
    <mergeCell ref="E12:Q12"/>
    <mergeCell ref="H32:Q32"/>
    <mergeCell ref="H33:Q33"/>
    <mergeCell ref="H34:Q34"/>
    <mergeCell ref="F28:Q28"/>
    <mergeCell ref="K20:M20"/>
    <mergeCell ref="F21:Q21"/>
    <mergeCell ref="K17:M17"/>
    <mergeCell ref="H38:Q38"/>
    <mergeCell ref="H39:Q39"/>
    <mergeCell ref="F49:Q49"/>
    <mergeCell ref="N52:O52"/>
    <mergeCell ref="P52:Q52"/>
    <mergeCell ref="H40:Q40"/>
    <mergeCell ref="N45:Q45"/>
    <mergeCell ref="N46:Q46"/>
    <mergeCell ref="N47:Q47"/>
    <mergeCell ref="N48:Q48"/>
    <mergeCell ref="H41:Q41"/>
    <mergeCell ref="K18:M18"/>
    <mergeCell ref="K19:M19"/>
    <mergeCell ref="H132:Q132"/>
    <mergeCell ref="N53:O53"/>
    <mergeCell ref="P53:Q53"/>
    <mergeCell ref="F113:Q113"/>
    <mergeCell ref="F114:Q114"/>
    <mergeCell ref="F99:Q99"/>
    <mergeCell ref="F100:Q100"/>
    <mergeCell ref="F104:Q104"/>
    <mergeCell ref="F105:Q105"/>
    <mergeCell ref="F106:Q106"/>
    <mergeCell ref="F108:Q108"/>
    <mergeCell ref="F68:Q68"/>
    <mergeCell ref="F71:M71"/>
    <mergeCell ref="F72:M72"/>
    <mergeCell ref="N74:Q74"/>
    <mergeCell ref="F80:Q80"/>
    <mergeCell ref="F66:Q66"/>
    <mergeCell ref="H83:Q83"/>
    <mergeCell ref="H84:Q84"/>
    <mergeCell ref="F67:Q67"/>
    <mergeCell ref="F65:Q65"/>
    <mergeCell ref="J77:Q77"/>
    <mergeCell ref="N55:O55"/>
    <mergeCell ref="P55:Q55"/>
    <mergeCell ref="F56:Q56"/>
    <mergeCell ref="F42:Q42"/>
    <mergeCell ref="N73:Q73"/>
    <mergeCell ref="N72:Q72"/>
    <mergeCell ref="F64:Q64"/>
    <mergeCell ref="N59:Q59"/>
    <mergeCell ref="N62:Q62"/>
    <mergeCell ref="N61:Q61"/>
    <mergeCell ref="N54:O54"/>
    <mergeCell ref="P54:Q54"/>
    <mergeCell ref="N60:Q60"/>
    <mergeCell ref="N71:Q71"/>
    <mergeCell ref="F73:M73"/>
    <mergeCell ref="J76:Q76"/>
    <mergeCell ref="F77:I77"/>
    <mergeCell ref="F148:Q148"/>
    <mergeCell ref="F149:Q149"/>
    <mergeCell ref="F150:Q150"/>
    <mergeCell ref="F140:Q140"/>
    <mergeCell ref="F141:Q141"/>
    <mergeCell ref="F142:Q142"/>
    <mergeCell ref="F143:Q143"/>
    <mergeCell ref="F133:Q133"/>
    <mergeCell ref="F134:Q134"/>
    <mergeCell ref="F135:Q135"/>
    <mergeCell ref="F136:Q136"/>
    <mergeCell ref="H139:Q139"/>
    <mergeCell ref="H146:Q146"/>
    <mergeCell ref="F147:Q147"/>
    <mergeCell ref="H188:Q188"/>
    <mergeCell ref="H153:Q153"/>
    <mergeCell ref="H160:Q160"/>
    <mergeCell ref="H167:Q167"/>
    <mergeCell ref="H174:Q174"/>
    <mergeCell ref="H181:Q181"/>
    <mergeCell ref="F175:Q175"/>
    <mergeCell ref="F176:Q176"/>
    <mergeCell ref="F177:Q177"/>
    <mergeCell ref="F178:Q178"/>
    <mergeCell ref="F168:Q168"/>
    <mergeCell ref="F169:Q169"/>
    <mergeCell ref="F170:Q170"/>
    <mergeCell ref="F171:Q171"/>
    <mergeCell ref="F161:Q161"/>
    <mergeCell ref="F162:Q162"/>
    <mergeCell ref="F163:Q163"/>
    <mergeCell ref="F164:Q164"/>
    <mergeCell ref="F154:Q154"/>
    <mergeCell ref="F155:Q155"/>
    <mergeCell ref="F156:Q156"/>
    <mergeCell ref="F157:Q157"/>
  </mergeCells>
  <phoneticPr fontId="1" type="noConversion"/>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785BE-04FE-4B13-A639-F195E764BAB3}">
  <dimension ref="B2:W29"/>
  <sheetViews>
    <sheetView showGridLines="0" topLeftCell="A8" zoomScaleNormal="100" workbookViewId="0">
      <selection activeCell="B18" sqref="B18:U20"/>
    </sheetView>
  </sheetViews>
  <sheetFormatPr defaultColWidth="9" defaultRowHeight="17" customHeight="1"/>
  <cols>
    <col min="1" max="1" width="9" style="63"/>
    <col min="2" max="2" width="12.75" style="68" bestFit="1" customWidth="1"/>
    <col min="3" max="3" width="13.9375" style="63" bestFit="1" customWidth="1"/>
    <col min="4" max="4" width="5.0625" style="63" bestFit="1" customWidth="1"/>
    <col min="5" max="9" width="4.75" style="63" bestFit="1" customWidth="1"/>
    <col min="10" max="11" width="8.1875" style="63" bestFit="1" customWidth="1"/>
    <col min="12" max="12" width="12" style="63" bestFit="1" customWidth="1"/>
    <col min="13" max="13" width="7.3125" style="63" bestFit="1" customWidth="1"/>
    <col min="14" max="14" width="5.25" style="63" bestFit="1" customWidth="1"/>
    <col min="15" max="16" width="7.5" style="63" customWidth="1"/>
    <col min="17" max="18" width="5.25" style="63" bestFit="1" customWidth="1"/>
    <col min="19" max="19" width="12.6875" style="63" bestFit="1" customWidth="1"/>
    <col min="20" max="20" width="12.75" style="63" bestFit="1" customWidth="1"/>
    <col min="21" max="21" width="12.5625" style="63" bestFit="1" customWidth="1"/>
    <col min="22" max="22" width="13.0625" style="63" bestFit="1" customWidth="1"/>
    <col min="23" max="23" width="8" style="63" bestFit="1" customWidth="1"/>
    <col min="24" max="16384" width="9" style="63"/>
  </cols>
  <sheetData>
    <row r="2" spans="2:23" ht="23.25">
      <c r="B2" s="86" t="s">
        <v>352</v>
      </c>
      <c r="C2" s="86" t="s">
        <v>353</v>
      </c>
      <c r="D2" s="87" t="s">
        <v>354</v>
      </c>
      <c r="E2" s="87" t="s">
        <v>355</v>
      </c>
      <c r="F2" s="87" t="s">
        <v>744</v>
      </c>
      <c r="G2" s="87" t="s">
        <v>745</v>
      </c>
      <c r="H2" s="87" t="s">
        <v>746</v>
      </c>
      <c r="I2" s="87" t="s">
        <v>747</v>
      </c>
      <c r="J2" s="87" t="s">
        <v>356</v>
      </c>
      <c r="K2" s="87" t="s">
        <v>357</v>
      </c>
      <c r="L2" s="87" t="s">
        <v>358</v>
      </c>
      <c r="M2" s="87" t="s">
        <v>359</v>
      </c>
      <c r="N2" s="86" t="s">
        <v>360</v>
      </c>
      <c r="O2" s="86" t="s">
        <v>361</v>
      </c>
      <c r="P2" s="86" t="s">
        <v>362</v>
      </c>
      <c r="Q2" s="86" t="s">
        <v>363</v>
      </c>
      <c r="R2" s="86" t="s">
        <v>364</v>
      </c>
      <c r="S2" s="86" t="s">
        <v>365</v>
      </c>
      <c r="T2" s="86" t="s">
        <v>366</v>
      </c>
      <c r="U2" s="86" t="s">
        <v>367</v>
      </c>
      <c r="V2" s="87" t="s">
        <v>368</v>
      </c>
      <c r="W2" s="87" t="s">
        <v>369</v>
      </c>
    </row>
    <row r="3" spans="2:23" ht="13.15">
      <c r="B3" s="88"/>
      <c r="C3" s="88"/>
      <c r="D3" s="89"/>
      <c r="E3" s="89"/>
      <c r="F3" s="153" t="s">
        <v>748</v>
      </c>
      <c r="G3" s="153"/>
      <c r="H3" s="153"/>
      <c r="I3" s="153"/>
      <c r="J3" s="89"/>
      <c r="K3" s="89"/>
      <c r="L3" s="89"/>
      <c r="M3" s="89"/>
      <c r="N3" s="88"/>
      <c r="O3" s="88"/>
      <c r="P3" s="88"/>
      <c r="Q3" s="88"/>
      <c r="R3" s="88"/>
      <c r="S3" s="88"/>
      <c r="T3" s="88"/>
      <c r="U3" s="88"/>
      <c r="V3" s="89"/>
      <c r="W3" s="89"/>
    </row>
    <row r="4" spans="2:23" ht="17" customHeight="1">
      <c r="B4" s="69" t="s">
        <v>582</v>
      </c>
    </row>
    <row r="5" spans="2:23" ht="17" customHeight="1">
      <c r="B5" s="58" t="s">
        <v>562</v>
      </c>
      <c r="C5" s="58" t="s">
        <v>534</v>
      </c>
      <c r="D5" s="58" t="s">
        <v>535</v>
      </c>
      <c r="E5" s="58" t="s">
        <v>321</v>
      </c>
      <c r="F5" s="79" t="s">
        <v>735</v>
      </c>
      <c r="G5" s="79" t="s">
        <v>735</v>
      </c>
      <c r="H5" s="79" t="s">
        <v>735</v>
      </c>
      <c r="I5" s="79" t="s">
        <v>735</v>
      </c>
      <c r="J5" s="59" t="s">
        <v>536</v>
      </c>
      <c r="K5" s="59" t="s">
        <v>537</v>
      </c>
      <c r="L5" s="59" t="s">
        <v>667</v>
      </c>
      <c r="M5" s="186" t="s">
        <v>668</v>
      </c>
      <c r="N5" s="187"/>
      <c r="O5" s="188"/>
      <c r="P5" s="186" t="s">
        <v>669</v>
      </c>
      <c r="Q5" s="187"/>
      <c r="R5" s="188"/>
      <c r="S5" s="59" t="s">
        <v>538</v>
      </c>
      <c r="T5" s="59" t="s">
        <v>539</v>
      </c>
      <c r="U5" s="59" t="s">
        <v>540</v>
      </c>
      <c r="V5" s="60" t="s">
        <v>377</v>
      </c>
      <c r="W5" s="58" t="str">
        <f>_xlfn.CONCAT("0x",BIN2HEX(MID(V5,1,4),1),BIN2HEX(MID(V5,6,4),1),BIN2HEX(MID(V5,11,4),1))</f>
        <v>0x000</v>
      </c>
    </row>
    <row r="6" spans="2:23" ht="17" customHeight="1">
      <c r="B6" s="58" t="s">
        <v>598</v>
      </c>
      <c r="C6" s="58" t="s">
        <v>541</v>
      </c>
      <c r="D6" s="58" t="s">
        <v>535</v>
      </c>
      <c r="E6" s="58" t="s">
        <v>321</v>
      </c>
      <c r="F6" s="79" t="s">
        <v>735</v>
      </c>
      <c r="G6" s="79" t="s">
        <v>735</v>
      </c>
      <c r="H6" s="79" t="s">
        <v>735</v>
      </c>
      <c r="I6" s="79" t="s">
        <v>735</v>
      </c>
      <c r="J6" s="59" t="s">
        <v>588</v>
      </c>
      <c r="K6" s="59" t="s">
        <v>587</v>
      </c>
      <c r="L6" s="59" t="s">
        <v>780</v>
      </c>
      <c r="M6" s="59" t="s">
        <v>542</v>
      </c>
      <c r="N6" s="149" t="s">
        <v>618</v>
      </c>
      <c r="O6" s="149"/>
      <c r="P6" s="149"/>
      <c r="Q6" s="149"/>
      <c r="R6" s="149" t="s">
        <v>617</v>
      </c>
      <c r="S6" s="149"/>
      <c r="T6" s="149"/>
      <c r="U6" s="149"/>
      <c r="V6" s="60" t="s">
        <v>610</v>
      </c>
      <c r="W6" s="58" t="str">
        <f>_xlfn.CONCAT("0x",BIN2HEX(MID(V6,1,4),1),BIN2HEX(MID(V6,6,4),1),BIN2HEX(MID(V6,11,4),1))</f>
        <v>0x040</v>
      </c>
    </row>
    <row r="7" spans="2:23" ht="17" customHeight="1">
      <c r="B7" s="58" t="s">
        <v>599</v>
      </c>
      <c r="C7" s="58" t="s">
        <v>545</v>
      </c>
      <c r="D7" s="58" t="s">
        <v>535</v>
      </c>
      <c r="E7" s="58" t="s">
        <v>321</v>
      </c>
      <c r="F7" s="79" t="s">
        <v>735</v>
      </c>
      <c r="G7" s="79" t="s">
        <v>735</v>
      </c>
      <c r="H7" s="79" t="s">
        <v>735</v>
      </c>
      <c r="I7" s="79" t="s">
        <v>735</v>
      </c>
      <c r="J7" s="149" t="s">
        <v>615</v>
      </c>
      <c r="K7" s="149"/>
      <c r="L7" s="149"/>
      <c r="M7" s="149"/>
      <c r="N7" s="149"/>
      <c r="O7" s="149"/>
      <c r="P7" s="149"/>
      <c r="Q7" s="149"/>
      <c r="R7" s="149"/>
      <c r="S7" s="149"/>
      <c r="T7" s="149"/>
      <c r="U7" s="149"/>
      <c r="V7" s="60" t="s">
        <v>612</v>
      </c>
      <c r="W7" s="58" t="str">
        <f>_xlfn.CONCAT("0x",BIN2HEX(MID(V7,1,4),1),BIN2HEX(MID(V7,6,4),1),BIN2HEX(MID(V7,11,4),1))</f>
        <v>0x140</v>
      </c>
    </row>
    <row r="8" spans="2:23" ht="17" customHeight="1">
      <c r="B8" s="58" t="s">
        <v>600</v>
      </c>
      <c r="C8" s="58" t="s">
        <v>547</v>
      </c>
      <c r="D8" s="58" t="s">
        <v>535</v>
      </c>
      <c r="E8" s="58" t="s">
        <v>321</v>
      </c>
      <c r="F8" s="79" t="s">
        <v>735</v>
      </c>
      <c r="G8" s="79" t="s">
        <v>735</v>
      </c>
      <c r="H8" s="79" t="s">
        <v>735</v>
      </c>
      <c r="I8" s="79" t="s">
        <v>735</v>
      </c>
      <c r="J8" s="149" t="s">
        <v>616</v>
      </c>
      <c r="K8" s="149"/>
      <c r="L8" s="149"/>
      <c r="M8" s="149"/>
      <c r="N8" s="149"/>
      <c r="O8" s="149"/>
      <c r="P8" s="149"/>
      <c r="Q8" s="149"/>
      <c r="R8" s="149"/>
      <c r="S8" s="149"/>
      <c r="T8" s="149"/>
      <c r="U8" s="149"/>
      <c r="V8" s="60" t="s">
        <v>593</v>
      </c>
      <c r="W8" s="58" t="str">
        <f>_xlfn.CONCAT("0x",BIN2HEX(MID(V8,1,4),1),BIN2HEX(MID(V8,6,4),1),BIN2HEX(MID(V8,11,4),1))</f>
        <v>0x5A5</v>
      </c>
    </row>
    <row r="9" spans="2:23" ht="17" customHeight="1">
      <c r="B9" s="69" t="s">
        <v>583</v>
      </c>
    </row>
    <row r="10" spans="2:23" ht="17" customHeight="1">
      <c r="B10" s="58" t="s">
        <v>601</v>
      </c>
      <c r="C10" s="70" t="s">
        <v>584</v>
      </c>
      <c r="D10" s="70" t="s">
        <v>535</v>
      </c>
      <c r="E10" s="70" t="s">
        <v>321</v>
      </c>
      <c r="F10" s="79" t="s">
        <v>735</v>
      </c>
      <c r="G10" s="79" t="s">
        <v>735</v>
      </c>
      <c r="H10" s="79" t="s">
        <v>735</v>
      </c>
      <c r="I10" s="79" t="s">
        <v>735</v>
      </c>
      <c r="J10" s="179" t="s">
        <v>629</v>
      </c>
      <c r="K10" s="179"/>
      <c r="L10" s="179"/>
      <c r="M10" s="179" t="s">
        <v>632</v>
      </c>
      <c r="N10" s="179"/>
      <c r="O10" s="179"/>
      <c r="P10" s="179" t="s">
        <v>619</v>
      </c>
      <c r="Q10" s="179"/>
      <c r="R10" s="179"/>
      <c r="S10" s="179"/>
      <c r="T10" s="179"/>
      <c r="U10" s="179"/>
      <c r="V10" s="72" t="s">
        <v>659</v>
      </c>
      <c r="W10" s="70" t="str">
        <f t="shared" ref="W10:W17" si="0">_xlfn.CONCAT("0x",BIN2HEX(MID(V10,1,4),1),BIN2HEX(MID(V10,6,4),1),BIN2HEX(MID(V10,11,4),1))</f>
        <v>0x020</v>
      </c>
    </row>
    <row r="11" spans="2:23" ht="17" customHeight="1">
      <c r="B11" s="58" t="s">
        <v>602</v>
      </c>
      <c r="C11" s="70" t="s">
        <v>585</v>
      </c>
      <c r="D11" s="70" t="s">
        <v>535</v>
      </c>
      <c r="E11" s="70" t="s">
        <v>321</v>
      </c>
      <c r="F11" s="79" t="s">
        <v>735</v>
      </c>
      <c r="G11" s="79" t="s">
        <v>735</v>
      </c>
      <c r="H11" s="79" t="s">
        <v>735</v>
      </c>
      <c r="I11" s="79" t="s">
        <v>735</v>
      </c>
      <c r="J11" s="179" t="s">
        <v>630</v>
      </c>
      <c r="K11" s="179"/>
      <c r="L11" s="189" t="s">
        <v>631</v>
      </c>
      <c r="M11" s="190"/>
      <c r="N11" s="179" t="s">
        <v>621</v>
      </c>
      <c r="O11" s="179"/>
      <c r="P11" s="179"/>
      <c r="Q11" s="179" t="s">
        <v>620</v>
      </c>
      <c r="R11" s="179"/>
      <c r="S11" s="179"/>
      <c r="T11" s="179"/>
      <c r="U11" s="179"/>
      <c r="V11" s="72" t="s">
        <v>586</v>
      </c>
      <c r="W11" s="70" t="str">
        <f t="shared" si="0"/>
        <v>0x010</v>
      </c>
    </row>
    <row r="12" spans="2:23" ht="17" customHeight="1">
      <c r="B12" s="58" t="s">
        <v>603</v>
      </c>
      <c r="C12" s="70" t="s">
        <v>737</v>
      </c>
      <c r="D12" s="70" t="s">
        <v>535</v>
      </c>
      <c r="E12" s="70" t="s">
        <v>321</v>
      </c>
      <c r="F12" s="79" t="s">
        <v>735</v>
      </c>
      <c r="G12" s="79" t="s">
        <v>735</v>
      </c>
      <c r="H12" s="79" t="s">
        <v>735</v>
      </c>
      <c r="I12" s="79" t="s">
        <v>735</v>
      </c>
      <c r="J12" s="62" t="s">
        <v>614</v>
      </c>
      <c r="K12" s="62" t="s">
        <v>614</v>
      </c>
      <c r="L12" s="180" t="s">
        <v>660</v>
      </c>
      <c r="M12" s="181"/>
      <c r="N12" s="181"/>
      <c r="O12" s="181"/>
      <c r="P12" s="181"/>
      <c r="Q12" s="182"/>
      <c r="R12" s="183" t="s">
        <v>777</v>
      </c>
      <c r="S12" s="184"/>
      <c r="T12" s="184"/>
      <c r="U12" s="185"/>
      <c r="V12" s="72" t="s">
        <v>794</v>
      </c>
      <c r="W12" s="70" t="str">
        <f t="shared" si="0"/>
        <v>0x208</v>
      </c>
    </row>
    <row r="13" spans="2:23" ht="17" customHeight="1">
      <c r="B13" s="58" t="s">
        <v>604</v>
      </c>
      <c r="C13" s="70" t="s">
        <v>738</v>
      </c>
      <c r="D13" s="70" t="s">
        <v>535</v>
      </c>
      <c r="E13" s="70" t="s">
        <v>321</v>
      </c>
      <c r="F13" s="79" t="s">
        <v>735</v>
      </c>
      <c r="G13" s="79" t="s">
        <v>735</v>
      </c>
      <c r="H13" s="79" t="s">
        <v>735</v>
      </c>
      <c r="I13" s="79" t="s">
        <v>735</v>
      </c>
      <c r="J13" s="179" t="s">
        <v>628</v>
      </c>
      <c r="K13" s="179"/>
      <c r="L13" s="179"/>
      <c r="M13" s="179"/>
      <c r="N13" s="179"/>
      <c r="O13" s="179"/>
      <c r="P13" s="179"/>
      <c r="Q13" s="179"/>
      <c r="R13" s="183" t="s">
        <v>778</v>
      </c>
      <c r="S13" s="184"/>
      <c r="T13" s="184"/>
      <c r="U13" s="185"/>
      <c r="V13" s="72" t="s">
        <v>779</v>
      </c>
      <c r="W13" s="70" t="str">
        <f t="shared" si="0"/>
        <v>0x008</v>
      </c>
    </row>
    <row r="14" spans="2:23" ht="17" customHeight="1">
      <c r="B14" s="58" t="s">
        <v>605</v>
      </c>
      <c r="C14" s="70" t="s">
        <v>739</v>
      </c>
      <c r="D14" s="70" t="s">
        <v>535</v>
      </c>
      <c r="E14" s="70" t="s">
        <v>321</v>
      </c>
      <c r="F14" s="79" t="s">
        <v>735</v>
      </c>
      <c r="G14" s="79" t="s">
        <v>735</v>
      </c>
      <c r="H14" s="79" t="s">
        <v>735</v>
      </c>
      <c r="I14" s="79" t="s">
        <v>735</v>
      </c>
      <c r="J14" s="71" t="s">
        <v>373</v>
      </c>
      <c r="K14" s="71" t="s">
        <v>373</v>
      </c>
      <c r="L14" s="71" t="s">
        <v>373</v>
      </c>
      <c r="M14" s="71" t="s">
        <v>373</v>
      </c>
      <c r="N14" s="71" t="s">
        <v>373</v>
      </c>
      <c r="O14" s="71" t="s">
        <v>373</v>
      </c>
      <c r="P14" s="71" t="s">
        <v>373</v>
      </c>
      <c r="Q14" s="71" t="s">
        <v>373</v>
      </c>
      <c r="R14" s="71" t="s">
        <v>373</v>
      </c>
      <c r="S14" s="71" t="s">
        <v>373</v>
      </c>
      <c r="T14" s="71" t="s">
        <v>373</v>
      </c>
      <c r="U14" s="71" t="s">
        <v>373</v>
      </c>
      <c r="V14" s="72" t="s">
        <v>597</v>
      </c>
      <c r="W14" s="70" t="str">
        <f t="shared" si="0"/>
        <v>0x000</v>
      </c>
    </row>
    <row r="15" spans="2:23" ht="17" customHeight="1">
      <c r="B15" s="58" t="s">
        <v>606</v>
      </c>
      <c r="C15" s="70" t="s">
        <v>740</v>
      </c>
      <c r="D15" s="70" t="s">
        <v>535</v>
      </c>
      <c r="E15" s="70" t="s">
        <v>321</v>
      </c>
      <c r="F15" s="79" t="s">
        <v>735</v>
      </c>
      <c r="G15" s="79" t="s">
        <v>735</v>
      </c>
      <c r="H15" s="79" t="s">
        <v>735</v>
      </c>
      <c r="I15" s="79" t="s">
        <v>735</v>
      </c>
      <c r="J15" s="71" t="s">
        <v>373</v>
      </c>
      <c r="K15" s="71" t="s">
        <v>373</v>
      </c>
      <c r="L15" s="71" t="s">
        <v>373</v>
      </c>
      <c r="M15" s="71" t="s">
        <v>373</v>
      </c>
      <c r="N15" s="71" t="s">
        <v>373</v>
      </c>
      <c r="O15" s="71" t="s">
        <v>373</v>
      </c>
      <c r="P15" s="71" t="s">
        <v>373</v>
      </c>
      <c r="Q15" s="71" t="s">
        <v>373</v>
      </c>
      <c r="R15" s="71" t="s">
        <v>373</v>
      </c>
      <c r="S15" s="71" t="s">
        <v>373</v>
      </c>
      <c r="T15" s="71" t="s">
        <v>373</v>
      </c>
      <c r="U15" s="71" t="s">
        <v>373</v>
      </c>
      <c r="V15" s="72" t="s">
        <v>597</v>
      </c>
      <c r="W15" s="70" t="str">
        <f t="shared" si="0"/>
        <v>0x000</v>
      </c>
    </row>
    <row r="16" spans="2:23" ht="17" customHeight="1">
      <c r="B16" s="58" t="s">
        <v>571</v>
      </c>
      <c r="C16" s="70" t="s">
        <v>800</v>
      </c>
      <c r="D16" s="70" t="s">
        <v>535</v>
      </c>
      <c r="E16" s="70" t="s">
        <v>321</v>
      </c>
      <c r="F16" s="79" t="s">
        <v>735</v>
      </c>
      <c r="G16" s="79" t="s">
        <v>735</v>
      </c>
      <c r="H16" s="79" t="s">
        <v>735</v>
      </c>
      <c r="I16" s="79" t="s">
        <v>735</v>
      </c>
      <c r="J16" s="62" t="s">
        <v>614</v>
      </c>
      <c r="K16" s="62" t="s">
        <v>614</v>
      </c>
      <c r="L16" s="62" t="s">
        <v>614</v>
      </c>
      <c r="M16" s="180" t="s">
        <v>724</v>
      </c>
      <c r="N16" s="181"/>
      <c r="O16" s="181"/>
      <c r="P16" s="181"/>
      <c r="Q16" s="181"/>
      <c r="R16" s="181"/>
      <c r="S16" s="181"/>
      <c r="T16" s="181"/>
      <c r="U16" s="182"/>
      <c r="V16" s="72" t="s">
        <v>597</v>
      </c>
      <c r="W16" s="70" t="str">
        <f t="shared" si="0"/>
        <v>0x000</v>
      </c>
    </row>
    <row r="17" spans="2:23" ht="17" customHeight="1">
      <c r="B17" s="58" t="s">
        <v>572</v>
      </c>
      <c r="C17" s="70" t="s">
        <v>801</v>
      </c>
      <c r="D17" s="70" t="s">
        <v>535</v>
      </c>
      <c r="E17" s="70" t="s">
        <v>321</v>
      </c>
      <c r="F17" s="79" t="s">
        <v>735</v>
      </c>
      <c r="G17" s="79" t="s">
        <v>735</v>
      </c>
      <c r="H17" s="79" t="s">
        <v>735</v>
      </c>
      <c r="I17" s="79" t="s">
        <v>735</v>
      </c>
      <c r="J17" s="62" t="s">
        <v>614</v>
      </c>
      <c r="K17" s="62" t="s">
        <v>614</v>
      </c>
      <c r="L17" s="62" t="s">
        <v>614</v>
      </c>
      <c r="M17" s="62" t="s">
        <v>614</v>
      </c>
      <c r="N17" s="62" t="s">
        <v>614</v>
      </c>
      <c r="O17" s="62" t="s">
        <v>614</v>
      </c>
      <c r="P17" s="62" t="s">
        <v>614</v>
      </c>
      <c r="Q17" s="179" t="s">
        <v>635</v>
      </c>
      <c r="R17" s="179"/>
      <c r="S17" s="179"/>
      <c r="T17" s="179"/>
      <c r="U17" s="179"/>
      <c r="V17" s="72" t="s">
        <v>797</v>
      </c>
      <c r="W17" s="70" t="str">
        <f t="shared" si="0"/>
        <v>0x010</v>
      </c>
    </row>
    <row r="18" spans="2:23" ht="17" customHeight="1">
      <c r="B18" s="58" t="s">
        <v>573</v>
      </c>
      <c r="C18" s="70" t="s">
        <v>802</v>
      </c>
      <c r="D18" s="70" t="s">
        <v>535</v>
      </c>
      <c r="E18" s="70" t="s">
        <v>321</v>
      </c>
      <c r="F18" s="79" t="s">
        <v>735</v>
      </c>
      <c r="G18" s="79" t="s">
        <v>735</v>
      </c>
      <c r="H18" s="79" t="s">
        <v>735</v>
      </c>
      <c r="I18" s="79" t="s">
        <v>735</v>
      </c>
      <c r="J18" s="62" t="s">
        <v>614</v>
      </c>
      <c r="K18" s="62" t="s">
        <v>614</v>
      </c>
      <c r="L18" s="62" t="s">
        <v>614</v>
      </c>
      <c r="M18" s="62" t="s">
        <v>614</v>
      </c>
      <c r="N18" s="179" t="s">
        <v>625</v>
      </c>
      <c r="O18" s="179"/>
      <c r="P18" s="179"/>
      <c r="Q18" s="179"/>
      <c r="R18" s="179"/>
      <c r="S18" s="179"/>
      <c r="T18" s="179"/>
      <c r="U18" s="179"/>
      <c r="V18" s="72" t="s">
        <v>595</v>
      </c>
      <c r="W18" s="70" t="str">
        <f t="shared" ref="W18:W24" si="1">_xlfn.CONCAT("0x",BIN2HEX(MID(V18,1,4),1),BIN2HEX(MID(V18,6,4),1),BIN2HEX(MID(V18,11,4),1))</f>
        <v>0x080</v>
      </c>
    </row>
    <row r="19" spans="2:23" ht="17" customHeight="1">
      <c r="B19" s="58" t="s">
        <v>574</v>
      </c>
      <c r="C19" s="70" t="s">
        <v>803</v>
      </c>
      <c r="D19" s="70" t="s">
        <v>535</v>
      </c>
      <c r="E19" s="70" t="s">
        <v>321</v>
      </c>
      <c r="F19" s="79" t="s">
        <v>735</v>
      </c>
      <c r="G19" s="79" t="s">
        <v>735</v>
      </c>
      <c r="H19" s="79" t="s">
        <v>735</v>
      </c>
      <c r="I19" s="79" t="s">
        <v>735</v>
      </c>
      <c r="J19" s="62" t="s">
        <v>614</v>
      </c>
      <c r="K19" s="62" t="s">
        <v>614</v>
      </c>
      <c r="L19" s="62" t="s">
        <v>614</v>
      </c>
      <c r="M19" s="62" t="s">
        <v>614</v>
      </c>
      <c r="N19" s="179" t="s">
        <v>626</v>
      </c>
      <c r="O19" s="179"/>
      <c r="P19" s="179"/>
      <c r="Q19" s="179"/>
      <c r="R19" s="179"/>
      <c r="S19" s="179"/>
      <c r="T19" s="179"/>
      <c r="U19" s="179"/>
      <c r="V19" s="72" t="s">
        <v>595</v>
      </c>
      <c r="W19" s="70" t="str">
        <f t="shared" si="1"/>
        <v>0x080</v>
      </c>
    </row>
    <row r="20" spans="2:23" ht="17" customHeight="1">
      <c r="B20" s="58" t="s">
        <v>575</v>
      </c>
      <c r="C20" s="70" t="s">
        <v>804</v>
      </c>
      <c r="D20" s="70" t="s">
        <v>535</v>
      </c>
      <c r="E20" s="70" t="s">
        <v>321</v>
      </c>
      <c r="F20" s="79" t="s">
        <v>735</v>
      </c>
      <c r="G20" s="79" t="s">
        <v>735</v>
      </c>
      <c r="H20" s="79" t="s">
        <v>735</v>
      </c>
      <c r="I20" s="79" t="s">
        <v>735</v>
      </c>
      <c r="J20" s="62" t="s">
        <v>614</v>
      </c>
      <c r="K20" s="62" t="s">
        <v>614</v>
      </c>
      <c r="L20" s="62" t="s">
        <v>614</v>
      </c>
      <c r="M20" s="62" t="s">
        <v>614</v>
      </c>
      <c r="N20" s="179" t="s">
        <v>627</v>
      </c>
      <c r="O20" s="179"/>
      <c r="P20" s="179"/>
      <c r="Q20" s="179"/>
      <c r="R20" s="179"/>
      <c r="S20" s="179"/>
      <c r="T20" s="179"/>
      <c r="U20" s="179"/>
      <c r="V20" s="72" t="s">
        <v>595</v>
      </c>
      <c r="W20" s="70" t="str">
        <f t="shared" si="1"/>
        <v>0x080</v>
      </c>
    </row>
    <row r="21" spans="2:23" ht="17" customHeight="1">
      <c r="B21" s="58" t="s">
        <v>576</v>
      </c>
      <c r="C21" s="70" t="s">
        <v>805</v>
      </c>
      <c r="D21" s="70" t="s">
        <v>535</v>
      </c>
      <c r="E21" s="70" t="s">
        <v>321</v>
      </c>
      <c r="F21" s="79" t="s">
        <v>735</v>
      </c>
      <c r="G21" s="79" t="s">
        <v>735</v>
      </c>
      <c r="H21" s="79" t="s">
        <v>735</v>
      </c>
      <c r="I21" s="79" t="s">
        <v>735</v>
      </c>
      <c r="J21" s="62" t="s">
        <v>614</v>
      </c>
      <c r="K21" s="62" t="s">
        <v>614</v>
      </c>
      <c r="L21" s="179" t="s">
        <v>633</v>
      </c>
      <c r="M21" s="179"/>
      <c r="N21" s="179"/>
      <c r="O21" s="179"/>
      <c r="P21" s="179"/>
      <c r="Q21" s="179"/>
      <c r="R21" s="179"/>
      <c r="S21" s="179"/>
      <c r="T21" s="179"/>
      <c r="U21" s="179"/>
      <c r="V21" s="72" t="s">
        <v>594</v>
      </c>
      <c r="W21" s="70" t="str">
        <f t="shared" si="1"/>
        <v>0x000</v>
      </c>
    </row>
    <row r="22" spans="2:23" ht="17" customHeight="1">
      <c r="B22" s="58" t="s">
        <v>577</v>
      </c>
      <c r="C22" s="70" t="s">
        <v>806</v>
      </c>
      <c r="D22" s="70" t="s">
        <v>535</v>
      </c>
      <c r="E22" s="70" t="s">
        <v>321</v>
      </c>
      <c r="F22" s="79" t="s">
        <v>735</v>
      </c>
      <c r="G22" s="79" t="s">
        <v>735</v>
      </c>
      <c r="H22" s="79" t="s">
        <v>735</v>
      </c>
      <c r="I22" s="79" t="s">
        <v>735</v>
      </c>
      <c r="J22" s="62" t="s">
        <v>614</v>
      </c>
      <c r="K22" s="62" t="s">
        <v>614</v>
      </c>
      <c r="L22" s="179" t="s">
        <v>634</v>
      </c>
      <c r="M22" s="179"/>
      <c r="N22" s="179"/>
      <c r="O22" s="179"/>
      <c r="P22" s="179"/>
      <c r="Q22" s="179"/>
      <c r="R22" s="179"/>
      <c r="S22" s="179"/>
      <c r="T22" s="179"/>
      <c r="U22" s="179"/>
      <c r="V22" s="72" t="s">
        <v>428</v>
      </c>
      <c r="W22" s="70" t="str">
        <f t="shared" si="1"/>
        <v>0x000</v>
      </c>
    </row>
    <row r="23" spans="2:23" ht="17" customHeight="1">
      <c r="B23" s="69" t="s">
        <v>596</v>
      </c>
    </row>
    <row r="24" spans="2:23" ht="17" customHeight="1">
      <c r="B24" s="58" t="s">
        <v>578</v>
      </c>
      <c r="C24" s="70" t="s">
        <v>807</v>
      </c>
      <c r="D24" s="70" t="s">
        <v>535</v>
      </c>
      <c r="E24" s="70" t="s">
        <v>321</v>
      </c>
      <c r="F24" s="79" t="s">
        <v>735</v>
      </c>
      <c r="G24" s="79" t="s">
        <v>735</v>
      </c>
      <c r="H24" s="79" t="s">
        <v>735</v>
      </c>
      <c r="I24" s="79" t="s">
        <v>735</v>
      </c>
      <c r="J24" s="179" t="s">
        <v>622</v>
      </c>
      <c r="K24" s="179"/>
      <c r="L24" s="179"/>
      <c r="M24" s="179"/>
      <c r="N24" s="179"/>
      <c r="O24" s="179"/>
      <c r="P24" s="179"/>
      <c r="Q24" s="179"/>
      <c r="R24" s="179"/>
      <c r="S24" s="179"/>
      <c r="T24" s="179"/>
      <c r="U24" s="179"/>
      <c r="V24" s="72" t="s">
        <v>594</v>
      </c>
      <c r="W24" s="70" t="str">
        <f t="shared" si="1"/>
        <v>0x000</v>
      </c>
    </row>
    <row r="25" spans="2:23" ht="17" customHeight="1">
      <c r="B25" s="58" t="s">
        <v>741</v>
      </c>
      <c r="C25" s="70" t="s">
        <v>607</v>
      </c>
      <c r="D25" s="70" t="s">
        <v>535</v>
      </c>
      <c r="E25" s="70" t="s">
        <v>321</v>
      </c>
      <c r="F25" s="79" t="s">
        <v>735</v>
      </c>
      <c r="G25" s="79" t="s">
        <v>735</v>
      </c>
      <c r="H25" s="79" t="s">
        <v>735</v>
      </c>
      <c r="I25" s="79" t="s">
        <v>735</v>
      </c>
      <c r="J25" s="179" t="s">
        <v>623</v>
      </c>
      <c r="K25" s="179"/>
      <c r="L25" s="179"/>
      <c r="M25" s="179"/>
      <c r="N25" s="179"/>
      <c r="O25" s="179"/>
      <c r="P25" s="179"/>
      <c r="Q25" s="179"/>
      <c r="R25" s="179"/>
      <c r="S25" s="179"/>
      <c r="T25" s="179"/>
      <c r="U25" s="179"/>
      <c r="V25" s="72" t="s">
        <v>594</v>
      </c>
      <c r="W25" s="70" t="str">
        <f>_xlfn.CONCAT("0x",BIN2HEX(MID(V25,1,4),1),BIN2HEX(MID(V25,6,4),1),BIN2HEX(MID(V25,11,4),1))</f>
        <v>0x000</v>
      </c>
    </row>
    <row r="26" spans="2:23" ht="17" customHeight="1">
      <c r="B26" s="58" t="s">
        <v>742</v>
      </c>
      <c r="C26" s="70" t="s">
        <v>608</v>
      </c>
      <c r="D26" s="70" t="s">
        <v>535</v>
      </c>
      <c r="E26" s="70" t="s">
        <v>321</v>
      </c>
      <c r="F26" s="79" t="s">
        <v>735</v>
      </c>
      <c r="G26" s="79" t="s">
        <v>735</v>
      </c>
      <c r="H26" s="79" t="s">
        <v>735</v>
      </c>
      <c r="I26" s="79" t="s">
        <v>735</v>
      </c>
      <c r="J26" s="179" t="s">
        <v>624</v>
      </c>
      <c r="K26" s="179"/>
      <c r="L26" s="179"/>
      <c r="M26" s="179"/>
      <c r="N26" s="179"/>
      <c r="O26" s="179"/>
      <c r="P26" s="179"/>
      <c r="Q26" s="179"/>
      <c r="R26" s="179"/>
      <c r="S26" s="179"/>
      <c r="T26" s="179"/>
      <c r="U26" s="179"/>
      <c r="V26" s="72" t="s">
        <v>428</v>
      </c>
      <c r="W26" s="70" t="str">
        <f>_xlfn.CONCAT("0x",BIN2HEX(MID(V26,1,4),1),BIN2HEX(MID(V26,6,4),1),BIN2HEX(MID(V26,11,4),1))</f>
        <v>0x000</v>
      </c>
    </row>
    <row r="27" spans="2:23" ht="17" customHeight="1">
      <c r="B27" s="58" t="s">
        <v>743</v>
      </c>
      <c r="C27" s="70" t="s">
        <v>609</v>
      </c>
      <c r="D27" s="70" t="s">
        <v>535</v>
      </c>
      <c r="E27" s="70" t="s">
        <v>321</v>
      </c>
      <c r="F27" s="79" t="s">
        <v>735</v>
      </c>
      <c r="G27" s="79" t="s">
        <v>735</v>
      </c>
      <c r="H27" s="79" t="s">
        <v>735</v>
      </c>
      <c r="I27" s="79" t="s">
        <v>735</v>
      </c>
      <c r="J27" s="71" t="s">
        <v>373</v>
      </c>
      <c r="K27" s="71" t="s">
        <v>373</v>
      </c>
      <c r="L27" s="71" t="s">
        <v>373</v>
      </c>
      <c r="M27" s="71" t="s">
        <v>373</v>
      </c>
      <c r="N27" s="179" t="s">
        <v>549</v>
      </c>
      <c r="O27" s="179"/>
      <c r="P27" s="179"/>
      <c r="Q27" s="179"/>
      <c r="R27" s="179"/>
      <c r="S27" s="179"/>
      <c r="T27" s="179"/>
      <c r="U27" s="179"/>
      <c r="V27" s="72" t="s">
        <v>428</v>
      </c>
      <c r="W27" s="70" t="str">
        <f>_xlfn.CONCAT("0x",BIN2HEX(MID(V27,1,4),1),BIN2HEX(MID(V27,6,4),1),BIN2HEX(MID(V27,11,4),1))</f>
        <v>0x000</v>
      </c>
    </row>
    <row r="28" spans="2:23" ht="17" customHeight="1">
      <c r="B28" s="58" t="s">
        <v>798</v>
      </c>
      <c r="C28" s="70" t="s">
        <v>808</v>
      </c>
      <c r="D28" s="70" t="s">
        <v>535</v>
      </c>
      <c r="E28" s="70" t="s">
        <v>321</v>
      </c>
      <c r="F28" s="79" t="s">
        <v>735</v>
      </c>
      <c r="G28" s="79" t="s">
        <v>735</v>
      </c>
      <c r="H28" s="79" t="s">
        <v>735</v>
      </c>
      <c r="I28" s="79" t="s">
        <v>735</v>
      </c>
      <c r="J28" s="71" t="s">
        <v>373</v>
      </c>
      <c r="K28" s="71" t="s">
        <v>373</v>
      </c>
      <c r="L28" s="71" t="s">
        <v>373</v>
      </c>
      <c r="M28" s="71" t="s">
        <v>373</v>
      </c>
      <c r="N28" s="71" t="s">
        <v>373</v>
      </c>
      <c r="O28" s="71" t="s">
        <v>373</v>
      </c>
      <c r="P28" s="71" t="s">
        <v>373</v>
      </c>
      <c r="Q28" s="71" t="s">
        <v>373</v>
      </c>
      <c r="R28" s="71" t="s">
        <v>373</v>
      </c>
      <c r="S28" s="71" t="s">
        <v>373</v>
      </c>
      <c r="T28" s="71" t="s">
        <v>373</v>
      </c>
      <c r="U28" s="71" t="s">
        <v>373</v>
      </c>
      <c r="V28" s="72" t="s">
        <v>428</v>
      </c>
      <c r="W28" s="70" t="str">
        <f>_xlfn.CONCAT("0x",BIN2HEX(MID(V28,1,4),1),BIN2HEX(MID(V28,6,4),1),BIN2HEX(MID(V28,11,4),1))</f>
        <v>0x000</v>
      </c>
    </row>
    <row r="29" spans="2:23" ht="17" customHeight="1">
      <c r="B29" s="58" t="s">
        <v>799</v>
      </c>
      <c r="C29" s="70" t="s">
        <v>809</v>
      </c>
      <c r="D29" s="70" t="s">
        <v>535</v>
      </c>
      <c r="E29" s="70" t="s">
        <v>321</v>
      </c>
      <c r="F29" s="79" t="s">
        <v>735</v>
      </c>
      <c r="G29" s="79" t="s">
        <v>735</v>
      </c>
      <c r="H29" s="79" t="s">
        <v>735</v>
      </c>
      <c r="I29" s="79" t="s">
        <v>735</v>
      </c>
      <c r="J29" s="62" t="s">
        <v>614</v>
      </c>
      <c r="K29" s="62" t="s">
        <v>614</v>
      </c>
      <c r="L29" s="62" t="s">
        <v>614</v>
      </c>
      <c r="M29" s="62" t="s">
        <v>614</v>
      </c>
      <c r="N29" s="62" t="s">
        <v>614</v>
      </c>
      <c r="O29" s="62" t="s">
        <v>614</v>
      </c>
      <c r="P29" s="62" t="s">
        <v>614</v>
      </c>
      <c r="Q29" s="62" t="s">
        <v>614</v>
      </c>
      <c r="R29" s="71" t="s">
        <v>373</v>
      </c>
      <c r="S29" s="71" t="s">
        <v>373</v>
      </c>
      <c r="T29" s="71" t="s">
        <v>373</v>
      </c>
      <c r="U29" s="71" t="s">
        <v>373</v>
      </c>
      <c r="V29" s="72" t="s">
        <v>428</v>
      </c>
      <c r="W29" s="70" t="str">
        <f>_xlfn.CONCAT("0x",BIN2HEX(MID(V29,1,4),1),BIN2HEX(MID(V29,6,4),1),BIN2HEX(MID(V29,11,4),1))</f>
        <v>0x000</v>
      </c>
    </row>
  </sheetData>
  <mergeCells count="29">
    <mergeCell ref="M10:O10"/>
    <mergeCell ref="F3:I3"/>
    <mergeCell ref="N11:P11"/>
    <mergeCell ref="Q11:U11"/>
    <mergeCell ref="M5:O5"/>
    <mergeCell ref="P5:R5"/>
    <mergeCell ref="N6:Q6"/>
    <mergeCell ref="R6:U6"/>
    <mergeCell ref="J7:U7"/>
    <mergeCell ref="J8:U8"/>
    <mergeCell ref="P10:U10"/>
    <mergeCell ref="J10:L10"/>
    <mergeCell ref="L11:M11"/>
    <mergeCell ref="J11:K11"/>
    <mergeCell ref="L12:Q12"/>
    <mergeCell ref="J13:Q13"/>
    <mergeCell ref="L21:U21"/>
    <mergeCell ref="L22:U22"/>
    <mergeCell ref="J25:U25"/>
    <mergeCell ref="R12:U12"/>
    <mergeCell ref="R13:U13"/>
    <mergeCell ref="J26:U26"/>
    <mergeCell ref="N27:U27"/>
    <mergeCell ref="J24:U24"/>
    <mergeCell ref="M16:U16"/>
    <mergeCell ref="Q17:U17"/>
    <mergeCell ref="N18:U18"/>
    <mergeCell ref="N19:U19"/>
    <mergeCell ref="N20:U20"/>
  </mergeCells>
  <phoneticPr fontId="1" type="noConversion"/>
  <conditionalFormatting sqref="R22">
    <cfRule type="cellIs" dxfId="1" priority="1" operator="equal">
      <formula>"RSVD"</formula>
    </cfRule>
  </conditionalFormatting>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C14FC3-3F3F-4D64-8DE9-A8DC394D9269}">
  <dimension ref="B2:Q175"/>
  <sheetViews>
    <sheetView showGridLines="0" topLeftCell="B111" zoomScaleNormal="100" workbookViewId="0">
      <selection activeCell="F104" sqref="F104:Q104"/>
    </sheetView>
  </sheetViews>
  <sheetFormatPr defaultColWidth="9" defaultRowHeight="16.899999999999999"/>
  <cols>
    <col min="1" max="1" width="9" style="43"/>
    <col min="2" max="2" width="11.0625" style="42" bestFit="1" customWidth="1"/>
    <col min="3" max="3" width="6.75" style="42" customWidth="1"/>
    <col min="4" max="4" width="5.5625" style="43" customWidth="1"/>
    <col min="5" max="17" width="11.5625" style="44" customWidth="1"/>
    <col min="18" max="16384" width="9" style="43"/>
  </cols>
  <sheetData>
    <row r="2" spans="2:17" ht="17.25" thickBot="1"/>
    <row r="3" spans="2:17">
      <c r="E3" s="202" t="s">
        <v>458</v>
      </c>
      <c r="F3" s="203"/>
      <c r="G3" s="203"/>
      <c r="H3" s="203"/>
      <c r="I3" s="203"/>
      <c r="J3" s="203"/>
      <c r="K3" s="203"/>
      <c r="L3" s="203"/>
      <c r="M3" s="203"/>
      <c r="N3" s="203"/>
      <c r="O3" s="203"/>
      <c r="P3" s="203"/>
      <c r="Q3" s="204"/>
    </row>
    <row r="4" spans="2:17">
      <c r="E4" s="205" t="s">
        <v>459</v>
      </c>
      <c r="F4" s="192"/>
      <c r="G4" s="192"/>
      <c r="H4" s="192"/>
      <c r="I4" s="192"/>
      <c r="J4" s="192"/>
      <c r="K4" s="192"/>
      <c r="L4" s="192"/>
      <c r="M4" s="192"/>
      <c r="N4" s="192"/>
      <c r="O4" s="192"/>
      <c r="P4" s="192"/>
      <c r="Q4" s="206"/>
    </row>
    <row r="5" spans="2:17" ht="17.25" thickBot="1">
      <c r="E5" s="207" t="s">
        <v>460</v>
      </c>
      <c r="F5" s="208"/>
      <c r="G5" s="208"/>
      <c r="H5" s="208"/>
      <c r="I5" s="208"/>
      <c r="J5" s="208"/>
      <c r="K5" s="208"/>
      <c r="L5" s="208"/>
      <c r="M5" s="208"/>
      <c r="N5" s="208"/>
      <c r="O5" s="208"/>
      <c r="P5" s="208"/>
      <c r="Q5" s="209"/>
    </row>
    <row r="6" spans="2:17">
      <c r="E6" s="45"/>
      <c r="F6" s="45"/>
      <c r="G6" s="45"/>
      <c r="H6" s="45"/>
      <c r="I6" s="45"/>
      <c r="J6" s="45"/>
      <c r="K6" s="45"/>
      <c r="L6" s="45"/>
      <c r="M6" s="45"/>
      <c r="N6" s="45"/>
      <c r="O6" s="45"/>
      <c r="P6" s="45"/>
      <c r="Q6" s="45"/>
    </row>
    <row r="7" spans="2:17" ht="17.25" thickBot="1"/>
    <row r="8" spans="2:17">
      <c r="E8" s="202" t="s">
        <v>461</v>
      </c>
      <c r="F8" s="203"/>
      <c r="G8" s="203"/>
      <c r="H8" s="203"/>
      <c r="I8" s="203"/>
      <c r="J8" s="203"/>
      <c r="K8" s="203"/>
      <c r="L8" s="203"/>
      <c r="M8" s="203"/>
      <c r="N8" s="203"/>
      <c r="O8" s="203"/>
      <c r="P8" s="203"/>
      <c r="Q8" s="204"/>
    </row>
    <row r="9" spans="2:17">
      <c r="E9" s="205" t="s">
        <v>462</v>
      </c>
      <c r="F9" s="192"/>
      <c r="G9" s="192"/>
      <c r="H9" s="192"/>
      <c r="I9" s="192"/>
      <c r="J9" s="192"/>
      <c r="K9" s="192"/>
      <c r="L9" s="192"/>
      <c r="M9" s="192"/>
      <c r="N9" s="192"/>
      <c r="O9" s="192"/>
      <c r="P9" s="192"/>
      <c r="Q9" s="206"/>
    </row>
    <row r="10" spans="2:17">
      <c r="E10" s="205" t="s">
        <v>463</v>
      </c>
      <c r="F10" s="192"/>
      <c r="G10" s="192"/>
      <c r="H10" s="192"/>
      <c r="I10" s="192"/>
      <c r="J10" s="192"/>
      <c r="K10" s="192"/>
      <c r="L10" s="192"/>
      <c r="M10" s="192"/>
      <c r="N10" s="192"/>
      <c r="O10" s="192"/>
      <c r="P10" s="192"/>
      <c r="Q10" s="206"/>
    </row>
    <row r="11" spans="2:17" ht="17.25" thickBot="1">
      <c r="E11" s="207" t="s">
        <v>464</v>
      </c>
      <c r="F11" s="208"/>
      <c r="G11" s="208"/>
      <c r="H11" s="208"/>
      <c r="I11" s="208"/>
      <c r="J11" s="208"/>
      <c r="K11" s="208"/>
      <c r="L11" s="208"/>
      <c r="M11" s="208"/>
      <c r="N11" s="208"/>
      <c r="O11" s="208"/>
      <c r="P11" s="208"/>
      <c r="Q11" s="209"/>
    </row>
    <row r="12" spans="2:17">
      <c r="E12" s="45"/>
      <c r="F12" s="45"/>
      <c r="G12" s="45"/>
      <c r="H12" s="45"/>
      <c r="I12" s="45"/>
      <c r="J12" s="45"/>
      <c r="K12" s="45"/>
      <c r="L12" s="45"/>
      <c r="M12" s="45"/>
      <c r="N12" s="45"/>
      <c r="O12" s="45"/>
      <c r="P12" s="45"/>
      <c r="Q12" s="45"/>
    </row>
    <row r="14" spans="2:17">
      <c r="B14" s="46" t="s">
        <v>465</v>
      </c>
      <c r="C14" s="46" t="s">
        <v>466</v>
      </c>
      <c r="E14" s="47"/>
      <c r="F14" s="41" t="s">
        <v>467</v>
      </c>
      <c r="G14" s="41" t="s">
        <v>468</v>
      </c>
      <c r="H14" s="41" t="s">
        <v>469</v>
      </c>
      <c r="I14" s="41" t="s">
        <v>470</v>
      </c>
      <c r="J14" s="41" t="s">
        <v>471</v>
      </c>
      <c r="K14" s="41" t="s">
        <v>472</v>
      </c>
      <c r="L14" s="41" t="s">
        <v>473</v>
      </c>
      <c r="M14" s="41" t="s">
        <v>474</v>
      </c>
      <c r="N14" s="41" t="s">
        <v>475</v>
      </c>
      <c r="O14" s="41" t="s">
        <v>476</v>
      </c>
      <c r="P14" s="41" t="s">
        <v>477</v>
      </c>
      <c r="Q14" s="41" t="s">
        <v>478</v>
      </c>
    </row>
    <row r="15" spans="2:17" ht="16.5" customHeight="1">
      <c r="B15" s="48" t="s">
        <v>534</v>
      </c>
      <c r="C15" s="48" t="s">
        <v>562</v>
      </c>
      <c r="E15" s="47" t="s">
        <v>480</v>
      </c>
      <c r="F15" s="40" t="s">
        <v>536</v>
      </c>
      <c r="G15" s="40" t="s">
        <v>537</v>
      </c>
      <c r="H15" s="40" t="s">
        <v>667</v>
      </c>
      <c r="I15" s="194" t="s">
        <v>668</v>
      </c>
      <c r="J15" s="195"/>
      <c r="K15" s="196"/>
      <c r="L15" s="194" t="s">
        <v>669</v>
      </c>
      <c r="M15" s="195"/>
      <c r="N15" s="196"/>
      <c r="O15" s="40" t="s">
        <v>538</v>
      </c>
      <c r="P15" s="40" t="s">
        <v>539</v>
      </c>
      <c r="Q15" s="40" t="s">
        <v>540</v>
      </c>
    </row>
    <row r="16" spans="2:17">
      <c r="E16" s="47" t="s">
        <v>481</v>
      </c>
      <c r="F16" s="40">
        <v>0</v>
      </c>
      <c r="G16" s="40">
        <v>0</v>
      </c>
      <c r="H16" s="40">
        <v>0</v>
      </c>
      <c r="I16" s="194">
        <v>0</v>
      </c>
      <c r="J16" s="195"/>
      <c r="K16" s="196"/>
      <c r="L16" s="194">
        <v>0</v>
      </c>
      <c r="M16" s="195"/>
      <c r="N16" s="196"/>
      <c r="O16" s="40">
        <v>0</v>
      </c>
      <c r="P16" s="40">
        <v>0</v>
      </c>
      <c r="Q16" s="40">
        <v>0</v>
      </c>
    </row>
    <row r="17" spans="2:17">
      <c r="E17" s="47" t="s">
        <v>458</v>
      </c>
      <c r="F17" s="40" t="s">
        <v>535</v>
      </c>
      <c r="G17" s="40" t="s">
        <v>535</v>
      </c>
      <c r="H17" s="40" t="s">
        <v>535</v>
      </c>
      <c r="I17" s="194" t="s">
        <v>535</v>
      </c>
      <c r="J17" s="195"/>
      <c r="K17" s="196"/>
      <c r="L17" s="194" t="s">
        <v>535</v>
      </c>
      <c r="M17" s="195"/>
      <c r="N17" s="196"/>
      <c r="O17" s="40" t="s">
        <v>535</v>
      </c>
      <c r="P17" s="40" t="s">
        <v>535</v>
      </c>
      <c r="Q17" s="40" t="s">
        <v>535</v>
      </c>
    </row>
    <row r="18" spans="2:17">
      <c r="E18" s="47" t="s">
        <v>461</v>
      </c>
      <c r="F18" s="40" t="s">
        <v>321</v>
      </c>
      <c r="G18" s="40" t="s">
        <v>321</v>
      </c>
      <c r="H18" s="40" t="s">
        <v>321</v>
      </c>
      <c r="I18" s="194" t="s">
        <v>321</v>
      </c>
      <c r="J18" s="195"/>
      <c r="K18" s="196"/>
      <c r="L18" s="194" t="s">
        <v>321</v>
      </c>
      <c r="M18" s="195"/>
      <c r="N18" s="196"/>
      <c r="O18" s="40" t="s">
        <v>321</v>
      </c>
      <c r="P18" s="40" t="s">
        <v>321</v>
      </c>
      <c r="Q18" s="40" t="s">
        <v>321</v>
      </c>
    </row>
    <row r="19" spans="2:17" ht="215.55" customHeight="1">
      <c r="E19" s="47" t="s">
        <v>485</v>
      </c>
      <c r="F19" s="197" t="s">
        <v>844</v>
      </c>
      <c r="G19" s="198"/>
      <c r="H19" s="198"/>
      <c r="I19" s="198"/>
      <c r="J19" s="198"/>
      <c r="K19" s="198"/>
      <c r="L19" s="198"/>
      <c r="M19" s="198"/>
      <c r="N19" s="198"/>
      <c r="O19" s="198"/>
      <c r="P19" s="198"/>
      <c r="Q19" s="199"/>
    </row>
    <row r="21" spans="2:17">
      <c r="B21" s="46" t="s">
        <v>465</v>
      </c>
      <c r="C21" s="46" t="s">
        <v>466</v>
      </c>
      <c r="E21" s="47"/>
      <c r="F21" s="47" t="s">
        <v>467</v>
      </c>
      <c r="G21" s="47" t="s">
        <v>468</v>
      </c>
      <c r="H21" s="47" t="s">
        <v>469</v>
      </c>
      <c r="I21" s="47" t="s">
        <v>470</v>
      </c>
      <c r="J21" s="47" t="s">
        <v>471</v>
      </c>
      <c r="K21" s="47" t="s">
        <v>472</v>
      </c>
      <c r="L21" s="47" t="s">
        <v>473</v>
      </c>
      <c r="M21" s="47" t="s">
        <v>474</v>
      </c>
      <c r="N21" s="47" t="s">
        <v>475</v>
      </c>
      <c r="O21" s="47" t="s">
        <v>476</v>
      </c>
      <c r="P21" s="47" t="s">
        <v>477</v>
      </c>
      <c r="Q21" s="47" t="s">
        <v>478</v>
      </c>
    </row>
    <row r="22" spans="2:17">
      <c r="B22" s="48" t="s">
        <v>552</v>
      </c>
      <c r="C22" s="48" t="s">
        <v>563</v>
      </c>
      <c r="E22" s="47" t="s">
        <v>480</v>
      </c>
      <c r="F22" s="40" t="s">
        <v>588</v>
      </c>
      <c r="G22" s="40" t="s">
        <v>587</v>
      </c>
      <c r="H22" s="40" t="s">
        <v>780</v>
      </c>
      <c r="I22" s="40" t="s">
        <v>542</v>
      </c>
      <c r="J22" s="200" t="s">
        <v>543</v>
      </c>
      <c r="K22" s="200"/>
      <c r="L22" s="200"/>
      <c r="M22" s="200"/>
      <c r="N22" s="200" t="s">
        <v>544</v>
      </c>
      <c r="O22" s="200"/>
      <c r="P22" s="200"/>
      <c r="Q22" s="200"/>
    </row>
    <row r="23" spans="2:17">
      <c r="E23" s="47" t="s">
        <v>481</v>
      </c>
      <c r="F23" s="40">
        <v>0</v>
      </c>
      <c r="G23" s="40">
        <v>0</v>
      </c>
      <c r="H23" s="40">
        <v>0</v>
      </c>
      <c r="I23" s="40">
        <v>0</v>
      </c>
      <c r="J23" s="200" t="s">
        <v>580</v>
      </c>
      <c r="K23" s="200"/>
      <c r="L23" s="200"/>
      <c r="M23" s="200"/>
      <c r="N23" s="200" t="s">
        <v>482</v>
      </c>
      <c r="O23" s="200"/>
      <c r="P23" s="200"/>
      <c r="Q23" s="200"/>
    </row>
    <row r="24" spans="2:17">
      <c r="E24" s="47" t="s">
        <v>458</v>
      </c>
      <c r="F24" s="40" t="s">
        <v>535</v>
      </c>
      <c r="G24" s="40" t="s">
        <v>535</v>
      </c>
      <c r="H24" s="40" t="s">
        <v>535</v>
      </c>
      <c r="I24" s="40" t="s">
        <v>535</v>
      </c>
      <c r="J24" s="200" t="s">
        <v>535</v>
      </c>
      <c r="K24" s="200"/>
      <c r="L24" s="200"/>
      <c r="M24" s="200"/>
      <c r="N24" s="200" t="s">
        <v>535</v>
      </c>
      <c r="O24" s="200"/>
      <c r="P24" s="200"/>
      <c r="Q24" s="200"/>
    </row>
    <row r="25" spans="2:17">
      <c r="E25" s="47" t="s">
        <v>461</v>
      </c>
      <c r="F25" s="40" t="s">
        <v>321</v>
      </c>
      <c r="G25" s="40" t="s">
        <v>321</v>
      </c>
      <c r="H25" s="40" t="s">
        <v>321</v>
      </c>
      <c r="I25" s="40" t="s">
        <v>321</v>
      </c>
      <c r="J25" s="200" t="s">
        <v>321</v>
      </c>
      <c r="K25" s="200"/>
      <c r="L25" s="200"/>
      <c r="M25" s="200"/>
      <c r="N25" s="200" t="s">
        <v>321</v>
      </c>
      <c r="O25" s="200"/>
      <c r="P25" s="200"/>
      <c r="Q25" s="200"/>
    </row>
    <row r="26" spans="2:17" ht="70.5" customHeight="1">
      <c r="E26" s="47" t="s">
        <v>485</v>
      </c>
      <c r="F26" s="191" t="s">
        <v>842</v>
      </c>
      <c r="G26" s="192"/>
      <c r="H26" s="192"/>
      <c r="I26" s="192"/>
      <c r="J26" s="192"/>
      <c r="K26" s="192"/>
      <c r="L26" s="192"/>
      <c r="M26" s="192"/>
      <c r="N26" s="192"/>
      <c r="O26" s="192"/>
      <c r="P26" s="192"/>
      <c r="Q26" s="193"/>
    </row>
    <row r="28" spans="2:17">
      <c r="B28" s="46" t="s">
        <v>465</v>
      </c>
      <c r="C28" s="46" t="s">
        <v>466</v>
      </c>
      <c r="E28" s="47"/>
      <c r="F28" s="47" t="s">
        <v>467</v>
      </c>
      <c r="G28" s="47" t="s">
        <v>468</v>
      </c>
      <c r="H28" s="47" t="s">
        <v>469</v>
      </c>
      <c r="I28" s="47" t="s">
        <v>470</v>
      </c>
      <c r="J28" s="47" t="s">
        <v>471</v>
      </c>
      <c r="K28" s="47" t="s">
        <v>472</v>
      </c>
      <c r="L28" s="47" t="s">
        <v>473</v>
      </c>
      <c r="M28" s="47" t="s">
        <v>474</v>
      </c>
      <c r="N28" s="47" t="s">
        <v>475</v>
      </c>
      <c r="O28" s="47" t="s">
        <v>476</v>
      </c>
      <c r="P28" s="47" t="s">
        <v>477</v>
      </c>
      <c r="Q28" s="47" t="s">
        <v>478</v>
      </c>
    </row>
    <row r="29" spans="2:17">
      <c r="B29" s="48" t="s">
        <v>553</v>
      </c>
      <c r="C29" s="48" t="s">
        <v>564</v>
      </c>
      <c r="E29" s="47" t="s">
        <v>480</v>
      </c>
      <c r="F29" s="194" t="s">
        <v>546</v>
      </c>
      <c r="G29" s="195"/>
      <c r="H29" s="195"/>
      <c r="I29" s="195"/>
      <c r="J29" s="195"/>
      <c r="K29" s="195"/>
      <c r="L29" s="195"/>
      <c r="M29" s="195"/>
      <c r="N29" s="195"/>
      <c r="O29" s="195"/>
      <c r="P29" s="195"/>
      <c r="Q29" s="196"/>
    </row>
    <row r="30" spans="2:17">
      <c r="E30" s="47" t="s">
        <v>481</v>
      </c>
      <c r="F30" s="194" t="s">
        <v>581</v>
      </c>
      <c r="G30" s="195"/>
      <c r="H30" s="195"/>
      <c r="I30" s="195"/>
      <c r="J30" s="195"/>
      <c r="K30" s="195"/>
      <c r="L30" s="195"/>
      <c r="M30" s="195"/>
      <c r="N30" s="195"/>
      <c r="O30" s="195"/>
      <c r="P30" s="195"/>
      <c r="Q30" s="196"/>
    </row>
    <row r="31" spans="2:17">
      <c r="E31" s="47" t="s">
        <v>458</v>
      </c>
      <c r="F31" s="194" t="s">
        <v>535</v>
      </c>
      <c r="G31" s="195"/>
      <c r="H31" s="195"/>
      <c r="I31" s="195"/>
      <c r="J31" s="195"/>
      <c r="K31" s="195"/>
      <c r="L31" s="195"/>
      <c r="M31" s="195"/>
      <c r="N31" s="195"/>
      <c r="O31" s="195"/>
      <c r="P31" s="195"/>
      <c r="Q31" s="196"/>
    </row>
    <row r="32" spans="2:17">
      <c r="E32" s="47" t="s">
        <v>461</v>
      </c>
      <c r="F32" s="194" t="s">
        <v>321</v>
      </c>
      <c r="G32" s="195"/>
      <c r="H32" s="195"/>
      <c r="I32" s="195"/>
      <c r="J32" s="195"/>
      <c r="K32" s="195"/>
      <c r="L32" s="195"/>
      <c r="M32" s="195"/>
      <c r="N32" s="195"/>
      <c r="O32" s="195"/>
      <c r="P32" s="195"/>
      <c r="Q32" s="196"/>
    </row>
    <row r="33" spans="2:17">
      <c r="E33" s="47" t="s">
        <v>485</v>
      </c>
      <c r="F33" s="191"/>
      <c r="G33" s="192"/>
      <c r="H33" s="192"/>
      <c r="I33" s="192"/>
      <c r="J33" s="192"/>
      <c r="K33" s="192"/>
      <c r="L33" s="192"/>
      <c r="M33" s="192"/>
      <c r="N33" s="192"/>
      <c r="O33" s="192"/>
      <c r="P33" s="192"/>
      <c r="Q33" s="193"/>
    </row>
    <row r="35" spans="2:17">
      <c r="B35" s="46" t="s">
        <v>465</v>
      </c>
      <c r="C35" s="46" t="s">
        <v>466</v>
      </c>
      <c r="E35" s="47"/>
      <c r="F35" s="47" t="s">
        <v>467</v>
      </c>
      <c r="G35" s="47" t="s">
        <v>468</v>
      </c>
      <c r="H35" s="47" t="s">
        <v>469</v>
      </c>
      <c r="I35" s="47" t="s">
        <v>470</v>
      </c>
      <c r="J35" s="47" t="s">
        <v>471</v>
      </c>
      <c r="K35" s="47" t="s">
        <v>472</v>
      </c>
      <c r="L35" s="47" t="s">
        <v>473</v>
      </c>
      <c r="M35" s="47" t="s">
        <v>474</v>
      </c>
      <c r="N35" s="47" t="s">
        <v>475</v>
      </c>
      <c r="O35" s="47" t="s">
        <v>476</v>
      </c>
      <c r="P35" s="47" t="s">
        <v>477</v>
      </c>
      <c r="Q35" s="47" t="s">
        <v>478</v>
      </c>
    </row>
    <row r="36" spans="2:17">
      <c r="B36" s="48" t="s">
        <v>554</v>
      </c>
      <c r="C36" s="48" t="s">
        <v>565</v>
      </c>
      <c r="E36" s="47" t="s">
        <v>480</v>
      </c>
      <c r="F36" s="194" t="s">
        <v>548</v>
      </c>
      <c r="G36" s="195"/>
      <c r="H36" s="195"/>
      <c r="I36" s="195"/>
      <c r="J36" s="195"/>
      <c r="K36" s="195"/>
      <c r="L36" s="195"/>
      <c r="M36" s="195"/>
      <c r="N36" s="195"/>
      <c r="O36" s="195"/>
      <c r="P36" s="195"/>
      <c r="Q36" s="196"/>
    </row>
    <row r="37" spans="2:17">
      <c r="E37" s="47" t="s">
        <v>481</v>
      </c>
      <c r="F37" s="194" t="s">
        <v>579</v>
      </c>
      <c r="G37" s="195"/>
      <c r="H37" s="195"/>
      <c r="I37" s="195"/>
      <c r="J37" s="195"/>
      <c r="K37" s="195"/>
      <c r="L37" s="195"/>
      <c r="M37" s="195"/>
      <c r="N37" s="195"/>
      <c r="O37" s="195"/>
      <c r="P37" s="195"/>
      <c r="Q37" s="196"/>
    </row>
    <row r="38" spans="2:17">
      <c r="E38" s="47" t="s">
        <v>458</v>
      </c>
      <c r="F38" s="194" t="s">
        <v>535</v>
      </c>
      <c r="G38" s="195"/>
      <c r="H38" s="195"/>
      <c r="I38" s="195"/>
      <c r="J38" s="195"/>
      <c r="K38" s="195"/>
      <c r="L38" s="195"/>
      <c r="M38" s="195"/>
      <c r="N38" s="195"/>
      <c r="O38" s="195"/>
      <c r="P38" s="195"/>
      <c r="Q38" s="196"/>
    </row>
    <row r="39" spans="2:17">
      <c r="E39" s="47" t="s">
        <v>461</v>
      </c>
      <c r="F39" s="194" t="s">
        <v>321</v>
      </c>
      <c r="G39" s="195"/>
      <c r="H39" s="195"/>
      <c r="I39" s="195"/>
      <c r="J39" s="195"/>
      <c r="K39" s="195"/>
      <c r="L39" s="195"/>
      <c r="M39" s="195"/>
      <c r="N39" s="195"/>
      <c r="O39" s="195"/>
      <c r="P39" s="195"/>
      <c r="Q39" s="196"/>
    </row>
    <row r="40" spans="2:17" ht="39" customHeight="1">
      <c r="E40" s="47" t="s">
        <v>485</v>
      </c>
      <c r="F40" s="191" t="s">
        <v>734</v>
      </c>
      <c r="G40" s="192"/>
      <c r="H40" s="192"/>
      <c r="I40" s="192"/>
      <c r="J40" s="192"/>
      <c r="K40" s="192"/>
      <c r="L40" s="192"/>
      <c r="M40" s="192"/>
      <c r="N40" s="192"/>
      <c r="O40" s="192"/>
      <c r="P40" s="192"/>
      <c r="Q40" s="193"/>
    </row>
    <row r="42" spans="2:17" ht="17.2" customHeight="1">
      <c r="B42" s="81" t="s">
        <v>788</v>
      </c>
      <c r="C42" s="82"/>
      <c r="D42" s="83"/>
      <c r="E42" s="84"/>
      <c r="F42" s="85"/>
      <c r="G42" s="85"/>
      <c r="H42" s="85"/>
      <c r="I42" s="85"/>
      <c r="J42" s="85"/>
      <c r="K42" s="85"/>
      <c r="L42" s="85"/>
      <c r="M42" s="85"/>
      <c r="N42" s="85"/>
      <c r="O42" s="85"/>
      <c r="P42" s="85"/>
      <c r="Q42" s="85"/>
    </row>
    <row r="43" spans="2:17">
      <c r="B43" s="46" t="s">
        <v>465</v>
      </c>
      <c r="C43" s="46" t="s">
        <v>466</v>
      </c>
      <c r="E43" s="47"/>
      <c r="F43" s="47" t="s">
        <v>467</v>
      </c>
      <c r="G43" s="47" t="s">
        <v>468</v>
      </c>
      <c r="H43" s="47" t="s">
        <v>469</v>
      </c>
      <c r="I43" s="47" t="s">
        <v>470</v>
      </c>
      <c r="J43" s="47" t="s">
        <v>471</v>
      </c>
      <c r="K43" s="47" t="s">
        <v>472</v>
      </c>
      <c r="L43" s="47" t="s">
        <v>473</v>
      </c>
      <c r="M43" s="47" t="s">
        <v>474</v>
      </c>
      <c r="N43" s="47" t="s">
        <v>475</v>
      </c>
      <c r="O43" s="47" t="s">
        <v>476</v>
      </c>
      <c r="P43" s="47" t="s">
        <v>477</v>
      </c>
      <c r="Q43" s="47" t="s">
        <v>478</v>
      </c>
    </row>
    <row r="44" spans="2:17" ht="16.5" customHeight="1">
      <c r="B44" s="48" t="s">
        <v>550</v>
      </c>
      <c r="C44" s="48" t="s">
        <v>611</v>
      </c>
      <c r="E44" s="47" t="s">
        <v>480</v>
      </c>
      <c r="F44" s="179" t="s">
        <v>629</v>
      </c>
      <c r="G44" s="179"/>
      <c r="H44" s="179"/>
      <c r="I44" s="179" t="s">
        <v>632</v>
      </c>
      <c r="J44" s="179"/>
      <c r="K44" s="179"/>
      <c r="L44" s="179" t="s">
        <v>619</v>
      </c>
      <c r="M44" s="179"/>
      <c r="N44" s="179"/>
      <c r="O44" s="179"/>
      <c r="P44" s="179"/>
      <c r="Q44" s="179"/>
    </row>
    <row r="45" spans="2:17">
      <c r="E45" s="47" t="s">
        <v>481</v>
      </c>
      <c r="F45" s="200" t="s">
        <v>482</v>
      </c>
      <c r="G45" s="200"/>
      <c r="H45" s="200"/>
      <c r="I45" s="200" t="s">
        <v>482</v>
      </c>
      <c r="J45" s="200"/>
      <c r="K45" s="200"/>
      <c r="L45" s="194" t="s">
        <v>613</v>
      </c>
      <c r="M45" s="195"/>
      <c r="N45" s="195"/>
      <c r="O45" s="195"/>
      <c r="P45" s="195"/>
      <c r="Q45" s="195"/>
    </row>
    <row r="46" spans="2:17">
      <c r="E46" s="47" t="s">
        <v>458</v>
      </c>
      <c r="F46" s="194" t="s">
        <v>535</v>
      </c>
      <c r="G46" s="195"/>
      <c r="H46" s="195"/>
      <c r="I46" s="195"/>
      <c r="J46" s="195"/>
      <c r="K46" s="195"/>
      <c r="L46" s="195"/>
      <c r="M46" s="195"/>
      <c r="N46" s="195"/>
      <c r="O46" s="195"/>
      <c r="P46" s="195"/>
      <c r="Q46" s="196"/>
    </row>
    <row r="47" spans="2:17">
      <c r="E47" s="47" t="s">
        <v>461</v>
      </c>
      <c r="F47" s="194" t="s">
        <v>321</v>
      </c>
      <c r="G47" s="195"/>
      <c r="H47" s="195"/>
      <c r="I47" s="195"/>
      <c r="J47" s="195"/>
      <c r="K47" s="195"/>
      <c r="L47" s="195"/>
      <c r="M47" s="195"/>
      <c r="N47" s="195"/>
      <c r="O47" s="195"/>
      <c r="P47" s="195"/>
      <c r="Q47" s="196"/>
    </row>
    <row r="48" spans="2:17">
      <c r="E48" s="47" t="s">
        <v>485</v>
      </c>
      <c r="F48" s="191" t="s">
        <v>661</v>
      </c>
      <c r="G48" s="192"/>
      <c r="H48" s="192"/>
      <c r="I48" s="192"/>
      <c r="J48" s="192"/>
      <c r="K48" s="192"/>
      <c r="L48" s="192"/>
      <c r="M48" s="192"/>
      <c r="N48" s="192"/>
      <c r="O48" s="192"/>
      <c r="P48" s="192"/>
      <c r="Q48" s="193"/>
    </row>
    <row r="50" spans="2:17">
      <c r="B50" s="46" t="s">
        <v>465</v>
      </c>
      <c r="C50" s="46" t="s">
        <v>466</v>
      </c>
      <c r="E50" s="47"/>
      <c r="F50" s="47" t="s">
        <v>467</v>
      </c>
      <c r="G50" s="47" t="s">
        <v>468</v>
      </c>
      <c r="H50" s="47" t="s">
        <v>469</v>
      </c>
      <c r="I50" s="47" t="s">
        <v>470</v>
      </c>
      <c r="J50" s="47" t="s">
        <v>471</v>
      </c>
      <c r="K50" s="47" t="s">
        <v>472</v>
      </c>
      <c r="L50" s="47" t="s">
        <v>473</v>
      </c>
      <c r="M50" s="47" t="s">
        <v>474</v>
      </c>
      <c r="N50" s="47" t="s">
        <v>475</v>
      </c>
      <c r="O50" s="47" t="s">
        <v>476</v>
      </c>
      <c r="P50" s="47" t="s">
        <v>477</v>
      </c>
      <c r="Q50" s="47" t="s">
        <v>478</v>
      </c>
    </row>
    <row r="51" spans="2:17" ht="17.2" customHeight="1">
      <c r="B51" s="48" t="s">
        <v>555</v>
      </c>
      <c r="C51" s="48" t="s">
        <v>566</v>
      </c>
      <c r="E51" s="47" t="s">
        <v>480</v>
      </c>
      <c r="F51" s="179" t="s">
        <v>630</v>
      </c>
      <c r="G51" s="179"/>
      <c r="H51" s="189" t="s">
        <v>631</v>
      </c>
      <c r="I51" s="190"/>
      <c r="J51" s="179" t="s">
        <v>621</v>
      </c>
      <c r="K51" s="179"/>
      <c r="L51" s="179"/>
      <c r="M51" s="179" t="s">
        <v>620</v>
      </c>
      <c r="N51" s="179"/>
      <c r="O51" s="179"/>
      <c r="P51" s="179"/>
      <c r="Q51" s="179"/>
    </row>
    <row r="52" spans="2:17">
      <c r="E52" s="47" t="s">
        <v>481</v>
      </c>
      <c r="F52" s="194" t="s">
        <v>482</v>
      </c>
      <c r="G52" s="196"/>
      <c r="H52" s="194" t="s">
        <v>482</v>
      </c>
      <c r="I52" s="196"/>
      <c r="J52" s="200" t="s">
        <v>482</v>
      </c>
      <c r="K52" s="200"/>
      <c r="L52" s="200"/>
      <c r="M52" s="200" t="s">
        <v>214</v>
      </c>
      <c r="N52" s="200"/>
      <c r="O52" s="200"/>
      <c r="P52" s="200"/>
      <c r="Q52" s="200"/>
    </row>
    <row r="53" spans="2:17">
      <c r="E53" s="47" t="s">
        <v>458</v>
      </c>
      <c r="F53" s="200" t="s">
        <v>535</v>
      </c>
      <c r="G53" s="200"/>
      <c r="H53" s="200"/>
      <c r="I53" s="200"/>
      <c r="J53" s="200"/>
      <c r="K53" s="200"/>
      <c r="L53" s="200"/>
      <c r="M53" s="200"/>
      <c r="N53" s="200"/>
      <c r="O53" s="200"/>
      <c r="P53" s="200"/>
      <c r="Q53" s="200"/>
    </row>
    <row r="54" spans="2:17">
      <c r="E54" s="47" t="s">
        <v>461</v>
      </c>
      <c r="F54" s="200" t="s">
        <v>321</v>
      </c>
      <c r="G54" s="200"/>
      <c r="H54" s="200"/>
      <c r="I54" s="200"/>
      <c r="J54" s="200"/>
      <c r="K54" s="200"/>
      <c r="L54" s="200"/>
      <c r="M54" s="200"/>
      <c r="N54" s="200"/>
      <c r="O54" s="200"/>
      <c r="P54" s="200"/>
      <c r="Q54" s="200"/>
    </row>
    <row r="55" spans="2:17" ht="17.2" customHeight="1">
      <c r="E55" s="47" t="s">
        <v>485</v>
      </c>
      <c r="F55" s="191" t="s">
        <v>661</v>
      </c>
      <c r="G55" s="192"/>
      <c r="H55" s="192"/>
      <c r="I55" s="192"/>
      <c r="J55" s="192"/>
      <c r="K55" s="192"/>
      <c r="L55" s="192"/>
      <c r="M55" s="192"/>
      <c r="N55" s="192"/>
      <c r="O55" s="192"/>
      <c r="P55" s="192"/>
      <c r="Q55" s="193"/>
    </row>
    <row r="57" spans="2:17">
      <c r="B57" s="46" t="s">
        <v>465</v>
      </c>
      <c r="C57" s="46" t="s">
        <v>466</v>
      </c>
      <c r="E57" s="47"/>
      <c r="F57" s="47" t="s">
        <v>467</v>
      </c>
      <c r="G57" s="47" t="s">
        <v>468</v>
      </c>
      <c r="H57" s="47" t="s">
        <v>469</v>
      </c>
      <c r="I57" s="47" t="s">
        <v>470</v>
      </c>
      <c r="J57" s="47" t="s">
        <v>471</v>
      </c>
      <c r="K57" s="47" t="s">
        <v>472</v>
      </c>
      <c r="L57" s="47" t="s">
        <v>473</v>
      </c>
      <c r="M57" s="47" t="s">
        <v>474</v>
      </c>
      <c r="N57" s="47" t="s">
        <v>475</v>
      </c>
      <c r="O57" s="47" t="s">
        <v>476</v>
      </c>
      <c r="P57" s="47" t="s">
        <v>477</v>
      </c>
      <c r="Q57" s="47" t="s">
        <v>478</v>
      </c>
    </row>
    <row r="58" spans="2:17" ht="17.2" customHeight="1">
      <c r="B58" s="48" t="s">
        <v>556</v>
      </c>
      <c r="C58" s="48" t="s">
        <v>567</v>
      </c>
      <c r="E58" s="47" t="s">
        <v>480</v>
      </c>
      <c r="F58" s="71" t="s">
        <v>373</v>
      </c>
      <c r="G58" s="71" t="s">
        <v>373</v>
      </c>
      <c r="H58" s="180" t="s">
        <v>660</v>
      </c>
      <c r="I58" s="181"/>
      <c r="J58" s="181"/>
      <c r="K58" s="181"/>
      <c r="L58" s="181"/>
      <c r="M58" s="182"/>
      <c r="N58" s="183" t="s">
        <v>777</v>
      </c>
      <c r="O58" s="184"/>
      <c r="P58" s="184"/>
      <c r="Q58" s="185"/>
    </row>
    <row r="59" spans="2:17" ht="17" customHeight="1">
      <c r="E59" s="47" t="s">
        <v>481</v>
      </c>
      <c r="F59" s="75" t="s">
        <v>828</v>
      </c>
      <c r="G59" s="77" t="s">
        <v>828</v>
      </c>
      <c r="H59" s="194" t="s">
        <v>795</v>
      </c>
      <c r="I59" s="195"/>
      <c r="J59" s="195"/>
      <c r="K59" s="195"/>
      <c r="L59" s="195"/>
      <c r="M59" s="195"/>
      <c r="N59" s="195"/>
      <c r="O59" s="195"/>
      <c r="P59" s="195"/>
      <c r="Q59" s="196"/>
    </row>
    <row r="60" spans="2:17">
      <c r="E60" s="47" t="s">
        <v>458</v>
      </c>
      <c r="F60" s="194" t="s">
        <v>535</v>
      </c>
      <c r="G60" s="195"/>
      <c r="H60" s="195"/>
      <c r="I60" s="195"/>
      <c r="J60" s="195"/>
      <c r="K60" s="195"/>
      <c r="L60" s="195"/>
      <c r="M60" s="195"/>
      <c r="N60" s="195"/>
      <c r="O60" s="195"/>
      <c r="P60" s="195"/>
      <c r="Q60" s="196"/>
    </row>
    <row r="61" spans="2:17">
      <c r="E61" s="47" t="s">
        <v>461</v>
      </c>
      <c r="F61" s="200" t="s">
        <v>321</v>
      </c>
      <c r="G61" s="200"/>
      <c r="H61" s="200"/>
      <c r="I61" s="200"/>
      <c r="J61" s="200"/>
      <c r="K61" s="200"/>
      <c r="L61" s="200"/>
      <c r="M61" s="200"/>
      <c r="N61" s="200"/>
      <c r="O61" s="200"/>
      <c r="P61" s="200"/>
      <c r="Q61" s="200"/>
    </row>
    <row r="62" spans="2:17" ht="17.2" customHeight="1">
      <c r="E62" s="47" t="s">
        <v>485</v>
      </c>
      <c r="F62" s="191" t="s">
        <v>661</v>
      </c>
      <c r="G62" s="192"/>
      <c r="H62" s="192"/>
      <c r="I62" s="192"/>
      <c r="J62" s="192"/>
      <c r="K62" s="192"/>
      <c r="L62" s="192"/>
      <c r="M62" s="192"/>
      <c r="N62" s="192"/>
      <c r="O62" s="192"/>
      <c r="P62" s="192"/>
      <c r="Q62" s="193"/>
    </row>
    <row r="64" spans="2:17">
      <c r="B64" s="46" t="s">
        <v>465</v>
      </c>
      <c r="C64" s="46" t="s">
        <v>466</v>
      </c>
      <c r="E64" s="47"/>
      <c r="F64" s="47" t="s">
        <v>467</v>
      </c>
      <c r="G64" s="47" t="s">
        <v>468</v>
      </c>
      <c r="H64" s="47" t="s">
        <v>469</v>
      </c>
      <c r="I64" s="47" t="s">
        <v>470</v>
      </c>
      <c r="J64" s="47" t="s">
        <v>471</v>
      </c>
      <c r="K64" s="47" t="s">
        <v>472</v>
      </c>
      <c r="L64" s="47" t="s">
        <v>473</v>
      </c>
      <c r="M64" s="47" t="s">
        <v>474</v>
      </c>
      <c r="N64" s="47" t="s">
        <v>475</v>
      </c>
      <c r="O64" s="47" t="s">
        <v>476</v>
      </c>
      <c r="P64" s="47" t="s">
        <v>477</v>
      </c>
      <c r="Q64" s="47" t="s">
        <v>478</v>
      </c>
    </row>
    <row r="65" spans="2:17" ht="17.2" customHeight="1">
      <c r="B65" s="48" t="s">
        <v>557</v>
      </c>
      <c r="C65" s="48" t="s">
        <v>568</v>
      </c>
      <c r="E65" s="47" t="s">
        <v>480</v>
      </c>
      <c r="F65" s="179" t="s">
        <v>628</v>
      </c>
      <c r="G65" s="179"/>
      <c r="H65" s="179"/>
      <c r="I65" s="179"/>
      <c r="J65" s="179"/>
      <c r="K65" s="179"/>
      <c r="L65" s="179"/>
      <c r="M65" s="179"/>
      <c r="N65" s="183" t="s">
        <v>778</v>
      </c>
      <c r="O65" s="184"/>
      <c r="P65" s="184"/>
      <c r="Q65" s="185"/>
    </row>
    <row r="66" spans="2:17">
      <c r="E66" s="47" t="s">
        <v>481</v>
      </c>
      <c r="F66" s="200" t="s">
        <v>482</v>
      </c>
      <c r="G66" s="200"/>
      <c r="H66" s="200"/>
      <c r="I66" s="200"/>
      <c r="J66" s="200"/>
      <c r="K66" s="200"/>
      <c r="L66" s="200"/>
      <c r="M66" s="200"/>
      <c r="N66" s="200" t="s">
        <v>796</v>
      </c>
      <c r="O66" s="200"/>
      <c r="P66" s="200"/>
      <c r="Q66" s="200"/>
    </row>
    <row r="67" spans="2:17">
      <c r="E67" s="47" t="s">
        <v>458</v>
      </c>
      <c r="F67" s="200" t="s">
        <v>535</v>
      </c>
      <c r="G67" s="200"/>
      <c r="H67" s="200"/>
      <c r="I67" s="200"/>
      <c r="J67" s="200"/>
      <c r="K67" s="200"/>
      <c r="L67" s="200"/>
      <c r="M67" s="200"/>
      <c r="N67" s="200"/>
      <c r="O67" s="200"/>
      <c r="P67" s="200"/>
      <c r="Q67" s="200"/>
    </row>
    <row r="68" spans="2:17">
      <c r="E68" s="47" t="s">
        <v>461</v>
      </c>
      <c r="F68" s="200" t="s">
        <v>321</v>
      </c>
      <c r="G68" s="200"/>
      <c r="H68" s="200"/>
      <c r="I68" s="200"/>
      <c r="J68" s="200"/>
      <c r="K68" s="200"/>
      <c r="L68" s="200"/>
      <c r="M68" s="200"/>
      <c r="N68" s="200"/>
      <c r="O68" s="200"/>
      <c r="P68" s="200"/>
      <c r="Q68" s="200"/>
    </row>
    <row r="69" spans="2:17" ht="17.2" customHeight="1">
      <c r="E69" s="47" t="s">
        <v>485</v>
      </c>
      <c r="F69" s="191" t="s">
        <v>661</v>
      </c>
      <c r="G69" s="192"/>
      <c r="H69" s="192"/>
      <c r="I69" s="192"/>
      <c r="J69" s="192"/>
      <c r="K69" s="192"/>
      <c r="L69" s="192"/>
      <c r="M69" s="192"/>
      <c r="N69" s="192"/>
      <c r="O69" s="192"/>
      <c r="P69" s="192"/>
      <c r="Q69" s="193"/>
    </row>
    <row r="71" spans="2:17">
      <c r="B71" s="46" t="s">
        <v>465</v>
      </c>
      <c r="C71" s="46" t="s">
        <v>466</v>
      </c>
      <c r="E71" s="47"/>
      <c r="F71" s="47" t="s">
        <v>467</v>
      </c>
      <c r="G71" s="47" t="s">
        <v>468</v>
      </c>
      <c r="H71" s="47" t="s">
        <v>469</v>
      </c>
      <c r="I71" s="47" t="s">
        <v>470</v>
      </c>
      <c r="J71" s="47" t="s">
        <v>471</v>
      </c>
      <c r="K71" s="47" t="s">
        <v>472</v>
      </c>
      <c r="L71" s="47" t="s">
        <v>473</v>
      </c>
      <c r="M71" s="47" t="s">
        <v>474</v>
      </c>
      <c r="N71" s="47" t="s">
        <v>475</v>
      </c>
      <c r="O71" s="47" t="s">
        <v>476</v>
      </c>
      <c r="P71" s="47" t="s">
        <v>477</v>
      </c>
      <c r="Q71" s="47" t="s">
        <v>478</v>
      </c>
    </row>
    <row r="72" spans="2:17" ht="17.2" customHeight="1">
      <c r="B72" s="48" t="s">
        <v>558</v>
      </c>
      <c r="C72" s="48" t="s">
        <v>569</v>
      </c>
      <c r="E72" s="47" t="s">
        <v>480</v>
      </c>
      <c r="F72" s="71" t="s">
        <v>373</v>
      </c>
      <c r="G72" s="71" t="s">
        <v>373</v>
      </c>
      <c r="H72" s="71" t="s">
        <v>373</v>
      </c>
      <c r="I72" s="71" t="s">
        <v>373</v>
      </c>
      <c r="J72" s="71" t="s">
        <v>373</v>
      </c>
      <c r="K72" s="71" t="s">
        <v>373</v>
      </c>
      <c r="L72" s="71" t="s">
        <v>373</v>
      </c>
      <c r="M72" s="71" t="s">
        <v>373</v>
      </c>
      <c r="N72" s="71" t="s">
        <v>373</v>
      </c>
      <c r="O72" s="71" t="s">
        <v>373</v>
      </c>
      <c r="P72" s="71" t="s">
        <v>373</v>
      </c>
      <c r="Q72" s="71" t="s">
        <v>373</v>
      </c>
    </row>
    <row r="73" spans="2:17">
      <c r="E73" s="47" t="s">
        <v>481</v>
      </c>
      <c r="F73" s="78" t="s">
        <v>482</v>
      </c>
      <c r="G73" s="78" t="s">
        <v>482</v>
      </c>
      <c r="H73" s="78" t="s">
        <v>482</v>
      </c>
      <c r="I73" s="78" t="s">
        <v>482</v>
      </c>
      <c r="J73" s="78" t="s">
        <v>482</v>
      </c>
      <c r="K73" s="78" t="s">
        <v>482</v>
      </c>
      <c r="L73" s="78" t="s">
        <v>482</v>
      </c>
      <c r="M73" s="78" t="s">
        <v>482</v>
      </c>
      <c r="N73" s="78" t="s">
        <v>482</v>
      </c>
      <c r="O73" s="78" t="s">
        <v>482</v>
      </c>
      <c r="P73" s="78" t="s">
        <v>482</v>
      </c>
      <c r="Q73" s="78" t="s">
        <v>482</v>
      </c>
    </row>
    <row r="74" spans="2:17">
      <c r="E74" s="47" t="s">
        <v>458</v>
      </c>
      <c r="F74" s="200" t="s">
        <v>535</v>
      </c>
      <c r="G74" s="200"/>
      <c r="H74" s="200"/>
      <c r="I74" s="200"/>
      <c r="J74" s="200"/>
      <c r="K74" s="200"/>
      <c r="L74" s="200"/>
      <c r="M74" s="200"/>
      <c r="N74" s="200"/>
      <c r="O74" s="200"/>
      <c r="P74" s="200"/>
      <c r="Q74" s="200"/>
    </row>
    <row r="75" spans="2:17">
      <c r="E75" s="47" t="s">
        <v>461</v>
      </c>
      <c r="F75" s="200" t="s">
        <v>321</v>
      </c>
      <c r="G75" s="200"/>
      <c r="H75" s="200"/>
      <c r="I75" s="200"/>
      <c r="J75" s="200"/>
      <c r="K75" s="200"/>
      <c r="L75" s="200"/>
      <c r="M75" s="200"/>
      <c r="N75" s="200"/>
      <c r="O75" s="200"/>
      <c r="P75" s="200"/>
      <c r="Q75" s="200"/>
    </row>
    <row r="76" spans="2:17" ht="17.2" customHeight="1">
      <c r="E76" s="47" t="s">
        <v>485</v>
      </c>
      <c r="F76" s="191" t="s">
        <v>661</v>
      </c>
      <c r="G76" s="192"/>
      <c r="H76" s="192"/>
      <c r="I76" s="192"/>
      <c r="J76" s="192"/>
      <c r="K76" s="192"/>
      <c r="L76" s="192"/>
      <c r="M76" s="192"/>
      <c r="N76" s="192"/>
      <c r="O76" s="192"/>
      <c r="P76" s="192"/>
      <c r="Q76" s="193"/>
    </row>
    <row r="77" spans="2:17" ht="17.2" customHeight="1">
      <c r="F77" s="45"/>
      <c r="G77" s="45"/>
      <c r="H77" s="45"/>
      <c r="I77" s="45"/>
      <c r="J77" s="45"/>
      <c r="K77" s="45"/>
      <c r="L77" s="45"/>
      <c r="M77" s="45"/>
      <c r="N77" s="45"/>
      <c r="O77" s="45"/>
      <c r="P77" s="45"/>
      <c r="Q77" s="45"/>
    </row>
    <row r="78" spans="2:17">
      <c r="B78" s="46" t="s">
        <v>465</v>
      </c>
      <c r="C78" s="46" t="s">
        <v>466</v>
      </c>
      <c r="E78" s="47"/>
      <c r="F78" s="47" t="s">
        <v>467</v>
      </c>
      <c r="G78" s="47" t="s">
        <v>468</v>
      </c>
      <c r="H78" s="47" t="s">
        <v>469</v>
      </c>
      <c r="I78" s="47" t="s">
        <v>470</v>
      </c>
      <c r="J78" s="47" t="s">
        <v>471</v>
      </c>
      <c r="K78" s="47" t="s">
        <v>472</v>
      </c>
      <c r="L78" s="47" t="s">
        <v>473</v>
      </c>
      <c r="M78" s="47" t="s">
        <v>474</v>
      </c>
      <c r="N78" s="47" t="s">
        <v>475</v>
      </c>
      <c r="O78" s="47" t="s">
        <v>476</v>
      </c>
      <c r="P78" s="47" t="s">
        <v>477</v>
      </c>
      <c r="Q78" s="47" t="s">
        <v>478</v>
      </c>
    </row>
    <row r="79" spans="2:17" ht="17.2" customHeight="1">
      <c r="B79" s="48" t="s">
        <v>559</v>
      </c>
      <c r="C79" s="48" t="s">
        <v>570</v>
      </c>
      <c r="E79" s="47" t="s">
        <v>480</v>
      </c>
      <c r="F79" s="62" t="s">
        <v>614</v>
      </c>
      <c r="G79" s="62" t="s">
        <v>614</v>
      </c>
      <c r="H79" s="62" t="s">
        <v>614</v>
      </c>
      <c r="I79" s="62" t="s">
        <v>614</v>
      </c>
      <c r="J79" s="62" t="s">
        <v>614</v>
      </c>
      <c r="K79" s="62" t="s">
        <v>614</v>
      </c>
      <c r="L79" s="71" t="s">
        <v>373</v>
      </c>
      <c r="M79" s="71" t="s">
        <v>373</v>
      </c>
      <c r="N79" s="71" t="s">
        <v>373</v>
      </c>
      <c r="O79" s="71" t="s">
        <v>373</v>
      </c>
      <c r="P79" s="71" t="s">
        <v>373</v>
      </c>
      <c r="Q79" s="71" t="s">
        <v>373</v>
      </c>
    </row>
    <row r="80" spans="2:17">
      <c r="B80" s="43"/>
      <c r="E80" s="47" t="s">
        <v>481</v>
      </c>
      <c r="L80" s="78" t="s">
        <v>482</v>
      </c>
      <c r="M80" s="78" t="s">
        <v>482</v>
      </c>
      <c r="N80" s="78" t="s">
        <v>482</v>
      </c>
      <c r="O80" s="78" t="s">
        <v>482</v>
      </c>
      <c r="P80" s="78" t="s">
        <v>482</v>
      </c>
      <c r="Q80" s="78" t="s">
        <v>482</v>
      </c>
    </row>
    <row r="81" spans="2:17">
      <c r="B81" s="43"/>
      <c r="E81" s="47" t="s">
        <v>458</v>
      </c>
      <c r="F81" s="200" t="s">
        <v>535</v>
      </c>
      <c r="G81" s="200"/>
      <c r="H81" s="200"/>
      <c r="I81" s="200"/>
      <c r="J81" s="200"/>
      <c r="K81" s="200"/>
      <c r="L81" s="200"/>
      <c r="M81" s="200"/>
      <c r="N81" s="200"/>
      <c r="O81" s="200"/>
      <c r="P81" s="200"/>
      <c r="Q81" s="200"/>
    </row>
    <row r="82" spans="2:17">
      <c r="B82" s="43"/>
      <c r="E82" s="47" t="s">
        <v>461</v>
      </c>
      <c r="F82" s="200" t="s">
        <v>321</v>
      </c>
      <c r="G82" s="200"/>
      <c r="H82" s="200"/>
      <c r="I82" s="200"/>
      <c r="J82" s="200"/>
      <c r="K82" s="200"/>
      <c r="L82" s="200"/>
      <c r="M82" s="200"/>
      <c r="N82" s="200"/>
      <c r="O82" s="200"/>
      <c r="P82" s="200"/>
      <c r="Q82" s="200"/>
    </row>
    <row r="83" spans="2:17" ht="17.2" customHeight="1">
      <c r="B83" s="43"/>
      <c r="E83" s="47" t="s">
        <v>485</v>
      </c>
      <c r="F83" s="191" t="s">
        <v>661</v>
      </c>
      <c r="G83" s="192"/>
      <c r="H83" s="192"/>
      <c r="I83" s="192"/>
      <c r="J83" s="192"/>
      <c r="K83" s="192"/>
      <c r="L83" s="192"/>
      <c r="M83" s="192"/>
      <c r="N83" s="192"/>
      <c r="O83" s="192"/>
      <c r="P83" s="192"/>
      <c r="Q83" s="193"/>
    </row>
    <row r="84" spans="2:17" ht="17.2" customHeight="1">
      <c r="B84" s="43"/>
      <c r="F84" s="45"/>
      <c r="G84" s="45"/>
      <c r="H84" s="45"/>
      <c r="I84" s="45"/>
      <c r="J84" s="45"/>
      <c r="K84" s="45"/>
      <c r="L84" s="45"/>
      <c r="M84" s="45"/>
      <c r="N84" s="45"/>
      <c r="O84" s="45"/>
      <c r="P84" s="45"/>
      <c r="Q84" s="45"/>
    </row>
    <row r="85" spans="2:17">
      <c r="B85" s="46" t="s">
        <v>465</v>
      </c>
      <c r="C85" s="46" t="s">
        <v>466</v>
      </c>
      <c r="E85" s="47"/>
      <c r="F85" s="47" t="s">
        <v>467</v>
      </c>
      <c r="G85" s="47" t="s">
        <v>468</v>
      </c>
      <c r="H85" s="47" t="s">
        <v>469</v>
      </c>
      <c r="I85" s="47" t="s">
        <v>470</v>
      </c>
      <c r="J85" s="47" t="s">
        <v>471</v>
      </c>
      <c r="K85" s="47" t="s">
        <v>472</v>
      </c>
      <c r="L85" s="47" t="s">
        <v>473</v>
      </c>
      <c r="M85" s="47" t="s">
        <v>474</v>
      </c>
      <c r="N85" s="47" t="s">
        <v>475</v>
      </c>
      <c r="O85" s="47" t="s">
        <v>476</v>
      </c>
      <c r="P85" s="47" t="s">
        <v>477</v>
      </c>
      <c r="Q85" s="47" t="s">
        <v>478</v>
      </c>
    </row>
    <row r="86" spans="2:17" ht="17.2" customHeight="1">
      <c r="B86" s="48" t="s">
        <v>813</v>
      </c>
      <c r="C86" s="48" t="s">
        <v>571</v>
      </c>
      <c r="E86" s="47" t="s">
        <v>480</v>
      </c>
      <c r="F86" s="62" t="s">
        <v>614</v>
      </c>
      <c r="G86" s="62" t="s">
        <v>614</v>
      </c>
      <c r="H86" s="71" t="s">
        <v>373</v>
      </c>
      <c r="I86" s="180" t="s">
        <v>724</v>
      </c>
      <c r="J86" s="181"/>
      <c r="K86" s="181"/>
      <c r="L86" s="181"/>
      <c r="M86" s="181"/>
      <c r="N86" s="181"/>
      <c r="O86" s="181"/>
      <c r="P86" s="181"/>
      <c r="Q86" s="182"/>
    </row>
    <row r="87" spans="2:17">
      <c r="B87" s="43"/>
      <c r="E87" s="47" t="s">
        <v>481</v>
      </c>
      <c r="H87" s="78" t="s">
        <v>482</v>
      </c>
      <c r="I87" s="194" t="s">
        <v>508</v>
      </c>
      <c r="J87" s="195"/>
      <c r="K87" s="195"/>
      <c r="L87" s="195"/>
      <c r="M87" s="195"/>
      <c r="N87" s="195"/>
      <c r="O87" s="195"/>
      <c r="P87" s="195"/>
      <c r="Q87" s="196"/>
    </row>
    <row r="88" spans="2:17">
      <c r="B88" s="43"/>
      <c r="E88" s="47" t="s">
        <v>458</v>
      </c>
      <c r="F88" s="200" t="s">
        <v>535</v>
      </c>
      <c r="G88" s="200"/>
      <c r="H88" s="200"/>
      <c r="I88" s="200"/>
      <c r="J88" s="200"/>
      <c r="K88" s="200"/>
      <c r="L88" s="200"/>
      <c r="M88" s="200"/>
      <c r="N88" s="200"/>
      <c r="O88" s="200"/>
      <c r="P88" s="200"/>
      <c r="Q88" s="200"/>
    </row>
    <row r="89" spans="2:17">
      <c r="B89" s="43"/>
      <c r="E89" s="47" t="s">
        <v>461</v>
      </c>
      <c r="F89" s="200" t="s">
        <v>321</v>
      </c>
      <c r="G89" s="200"/>
      <c r="H89" s="200"/>
      <c r="I89" s="200"/>
      <c r="J89" s="200"/>
      <c r="K89" s="200"/>
      <c r="L89" s="200"/>
      <c r="M89" s="200"/>
      <c r="N89" s="200"/>
      <c r="O89" s="200"/>
      <c r="P89" s="200"/>
      <c r="Q89" s="200"/>
    </row>
    <row r="90" spans="2:17" ht="17.2" customHeight="1">
      <c r="B90" s="43"/>
      <c r="E90" s="47" t="s">
        <v>485</v>
      </c>
      <c r="F90" s="191" t="s">
        <v>661</v>
      </c>
      <c r="G90" s="192"/>
      <c r="H90" s="192"/>
      <c r="I90" s="192"/>
      <c r="J90" s="192"/>
      <c r="K90" s="192"/>
      <c r="L90" s="192"/>
      <c r="M90" s="192"/>
      <c r="N90" s="192"/>
      <c r="O90" s="192"/>
      <c r="P90" s="192"/>
      <c r="Q90" s="193"/>
    </row>
    <row r="92" spans="2:17">
      <c r="B92" s="46" t="s">
        <v>465</v>
      </c>
      <c r="C92" s="46" t="s">
        <v>466</v>
      </c>
      <c r="E92" s="47"/>
      <c r="F92" s="47" t="s">
        <v>467</v>
      </c>
      <c r="G92" s="47" t="s">
        <v>468</v>
      </c>
      <c r="H92" s="47" t="s">
        <v>469</v>
      </c>
      <c r="I92" s="47" t="s">
        <v>470</v>
      </c>
      <c r="J92" s="47" t="s">
        <v>471</v>
      </c>
      <c r="K92" s="47" t="s">
        <v>472</v>
      </c>
      <c r="L92" s="47" t="s">
        <v>473</v>
      </c>
      <c r="M92" s="47" t="s">
        <v>474</v>
      </c>
      <c r="N92" s="47" t="s">
        <v>475</v>
      </c>
      <c r="O92" s="47" t="s">
        <v>476</v>
      </c>
      <c r="P92" s="47" t="s">
        <v>477</v>
      </c>
      <c r="Q92" s="47" t="s">
        <v>478</v>
      </c>
    </row>
    <row r="93" spans="2:17" ht="17.2" customHeight="1">
      <c r="B93" s="48" t="s">
        <v>814</v>
      </c>
      <c r="C93" s="48" t="s">
        <v>572</v>
      </c>
      <c r="E93" s="47" t="s">
        <v>480</v>
      </c>
      <c r="F93" s="62" t="s">
        <v>614</v>
      </c>
      <c r="G93" s="62" t="s">
        <v>614</v>
      </c>
      <c r="H93" s="62" t="s">
        <v>614</v>
      </c>
      <c r="I93" s="62" t="s">
        <v>614</v>
      </c>
      <c r="J93" s="62" t="s">
        <v>614</v>
      </c>
      <c r="K93" s="62" t="s">
        <v>614</v>
      </c>
      <c r="L93" s="71" t="s">
        <v>373</v>
      </c>
      <c r="M93" s="180" t="s">
        <v>635</v>
      </c>
      <c r="N93" s="181"/>
      <c r="O93" s="181"/>
      <c r="P93" s="181"/>
      <c r="Q93" s="182"/>
    </row>
    <row r="94" spans="2:17">
      <c r="B94" s="43"/>
      <c r="E94" s="47" t="s">
        <v>481</v>
      </c>
      <c r="L94" s="78" t="s">
        <v>482</v>
      </c>
      <c r="M94" s="194" t="s">
        <v>827</v>
      </c>
      <c r="N94" s="195"/>
      <c r="O94" s="195"/>
      <c r="P94" s="195"/>
      <c r="Q94" s="196"/>
    </row>
    <row r="95" spans="2:17">
      <c r="B95" s="43"/>
      <c r="E95" s="47" t="s">
        <v>458</v>
      </c>
      <c r="F95" s="200" t="s">
        <v>535</v>
      </c>
      <c r="G95" s="200"/>
      <c r="H95" s="200"/>
      <c r="I95" s="200"/>
      <c r="J95" s="200"/>
      <c r="K95" s="200"/>
      <c r="L95" s="200"/>
      <c r="M95" s="200"/>
      <c r="N95" s="200"/>
      <c r="O95" s="200"/>
      <c r="P95" s="200"/>
      <c r="Q95" s="200"/>
    </row>
    <row r="96" spans="2:17">
      <c r="B96" s="43"/>
      <c r="E96" s="47" t="s">
        <v>461</v>
      </c>
      <c r="F96" s="200" t="s">
        <v>321</v>
      </c>
      <c r="G96" s="200"/>
      <c r="H96" s="200"/>
      <c r="I96" s="200"/>
      <c r="J96" s="200"/>
      <c r="K96" s="200"/>
      <c r="L96" s="200"/>
      <c r="M96" s="200"/>
      <c r="N96" s="200"/>
      <c r="O96" s="200"/>
      <c r="P96" s="200"/>
      <c r="Q96" s="200"/>
    </row>
    <row r="97" spans="2:17" ht="17.2" customHeight="1">
      <c r="B97" s="43"/>
      <c r="E97" s="47" t="s">
        <v>485</v>
      </c>
      <c r="F97" s="191" t="s">
        <v>661</v>
      </c>
      <c r="G97" s="192"/>
      <c r="H97" s="192"/>
      <c r="I97" s="192"/>
      <c r="J97" s="192"/>
      <c r="K97" s="192"/>
      <c r="L97" s="192"/>
      <c r="M97" s="192"/>
      <c r="N97" s="192"/>
      <c r="O97" s="192"/>
      <c r="P97" s="192"/>
      <c r="Q97" s="193"/>
    </row>
    <row r="98" spans="2:17" ht="17.2" customHeight="1">
      <c r="B98" s="43"/>
      <c r="F98" s="45"/>
      <c r="G98" s="45"/>
      <c r="H98" s="45"/>
      <c r="I98" s="45"/>
      <c r="J98" s="45"/>
      <c r="K98" s="45"/>
      <c r="L98" s="45"/>
      <c r="M98" s="45"/>
      <c r="N98" s="45"/>
      <c r="O98" s="45"/>
      <c r="P98" s="45"/>
      <c r="Q98" s="45"/>
    </row>
    <row r="99" spans="2:17">
      <c r="B99" s="46" t="s">
        <v>465</v>
      </c>
      <c r="C99" s="46" t="s">
        <v>466</v>
      </c>
      <c r="E99" s="47"/>
      <c r="F99" s="47" t="s">
        <v>467</v>
      </c>
      <c r="G99" s="47" t="s">
        <v>468</v>
      </c>
      <c r="H99" s="47" t="s">
        <v>469</v>
      </c>
      <c r="I99" s="47" t="s">
        <v>470</v>
      </c>
      <c r="J99" s="47" t="s">
        <v>471</v>
      </c>
      <c r="K99" s="47" t="s">
        <v>472</v>
      </c>
      <c r="L99" s="47" t="s">
        <v>473</v>
      </c>
      <c r="M99" s="47" t="s">
        <v>474</v>
      </c>
      <c r="N99" s="47" t="s">
        <v>475</v>
      </c>
      <c r="O99" s="47" t="s">
        <v>476</v>
      </c>
      <c r="P99" s="47" t="s">
        <v>477</v>
      </c>
      <c r="Q99" s="47" t="s">
        <v>478</v>
      </c>
    </row>
    <row r="100" spans="2:17" ht="16.5" customHeight="1">
      <c r="B100" s="48" t="s">
        <v>815</v>
      </c>
      <c r="C100" s="48" t="s">
        <v>573</v>
      </c>
      <c r="E100" s="47" t="s">
        <v>480</v>
      </c>
      <c r="F100" s="62" t="s">
        <v>614</v>
      </c>
      <c r="G100" s="71" t="s">
        <v>373</v>
      </c>
      <c r="H100" s="71" t="s">
        <v>373</v>
      </c>
      <c r="I100" s="71" t="s">
        <v>373</v>
      </c>
      <c r="J100" s="179" t="s">
        <v>625</v>
      </c>
      <c r="K100" s="179"/>
      <c r="L100" s="179"/>
      <c r="M100" s="179"/>
      <c r="N100" s="179"/>
      <c r="O100" s="179"/>
      <c r="P100" s="179"/>
      <c r="Q100" s="179"/>
    </row>
    <row r="101" spans="2:17">
      <c r="E101" s="47" t="s">
        <v>481</v>
      </c>
      <c r="G101" s="78" t="s">
        <v>482</v>
      </c>
      <c r="H101" s="78" t="s">
        <v>482</v>
      </c>
      <c r="I101" s="78" t="s">
        <v>482</v>
      </c>
      <c r="J101" s="194" t="s">
        <v>826</v>
      </c>
      <c r="K101" s="195"/>
      <c r="L101" s="195"/>
      <c r="M101" s="195"/>
      <c r="N101" s="195"/>
      <c r="O101" s="195"/>
      <c r="P101" s="195"/>
      <c r="Q101" s="196"/>
    </row>
    <row r="102" spans="2:17">
      <c r="E102" s="47" t="s">
        <v>458</v>
      </c>
      <c r="F102" s="200" t="s">
        <v>535</v>
      </c>
      <c r="G102" s="200"/>
      <c r="H102" s="200"/>
      <c r="I102" s="200"/>
      <c r="J102" s="200"/>
      <c r="K102" s="200"/>
      <c r="L102" s="200"/>
      <c r="M102" s="200"/>
      <c r="N102" s="200"/>
      <c r="O102" s="200"/>
      <c r="P102" s="200"/>
      <c r="Q102" s="200"/>
    </row>
    <row r="103" spans="2:17">
      <c r="E103" s="47" t="s">
        <v>461</v>
      </c>
      <c r="F103" s="200" t="s">
        <v>321</v>
      </c>
      <c r="G103" s="200"/>
      <c r="H103" s="200"/>
      <c r="I103" s="200"/>
      <c r="J103" s="200"/>
      <c r="K103" s="200"/>
      <c r="L103" s="200"/>
      <c r="M103" s="200"/>
      <c r="N103" s="200"/>
      <c r="O103" s="200"/>
      <c r="P103" s="200"/>
      <c r="Q103" s="200"/>
    </row>
    <row r="104" spans="2:17" ht="27" customHeight="1">
      <c r="E104" s="47" t="s">
        <v>485</v>
      </c>
      <c r="F104" s="201" t="s">
        <v>663</v>
      </c>
      <c r="G104" s="201"/>
      <c r="H104" s="201"/>
      <c r="I104" s="201"/>
      <c r="J104" s="201"/>
      <c r="K104" s="201"/>
      <c r="L104" s="201"/>
      <c r="M104" s="201"/>
      <c r="N104" s="201"/>
      <c r="O104" s="201"/>
      <c r="P104" s="201"/>
      <c r="Q104" s="201"/>
    </row>
    <row r="106" spans="2:17">
      <c r="B106" s="46" t="s">
        <v>465</v>
      </c>
      <c r="C106" s="46" t="s">
        <v>466</v>
      </c>
      <c r="E106" s="47"/>
      <c r="F106" s="47" t="s">
        <v>467</v>
      </c>
      <c r="G106" s="47" t="s">
        <v>468</v>
      </c>
      <c r="H106" s="47" t="s">
        <v>469</v>
      </c>
      <c r="I106" s="47" t="s">
        <v>470</v>
      </c>
      <c r="J106" s="47" t="s">
        <v>471</v>
      </c>
      <c r="K106" s="47" t="s">
        <v>472</v>
      </c>
      <c r="L106" s="47" t="s">
        <v>473</v>
      </c>
      <c r="M106" s="47" t="s">
        <v>474</v>
      </c>
      <c r="N106" s="47" t="s">
        <v>475</v>
      </c>
      <c r="O106" s="47" t="s">
        <v>476</v>
      </c>
      <c r="P106" s="47" t="s">
        <v>477</v>
      </c>
      <c r="Q106" s="47" t="s">
        <v>478</v>
      </c>
    </row>
    <row r="107" spans="2:17" ht="16.5" customHeight="1">
      <c r="B107" s="48" t="s">
        <v>816</v>
      </c>
      <c r="C107" s="48" t="s">
        <v>574</v>
      </c>
      <c r="E107" s="47" t="s">
        <v>480</v>
      </c>
      <c r="F107" s="62" t="s">
        <v>614</v>
      </c>
      <c r="G107" s="71" t="s">
        <v>373</v>
      </c>
      <c r="H107" s="71" t="s">
        <v>373</v>
      </c>
      <c r="I107" s="71" t="s">
        <v>373</v>
      </c>
      <c r="J107" s="179" t="s">
        <v>625</v>
      </c>
      <c r="K107" s="179"/>
      <c r="L107" s="179"/>
      <c r="M107" s="179"/>
      <c r="N107" s="179"/>
      <c r="O107" s="179"/>
      <c r="P107" s="179"/>
      <c r="Q107" s="179"/>
    </row>
    <row r="108" spans="2:17">
      <c r="E108" s="47" t="s">
        <v>481</v>
      </c>
      <c r="G108" s="78" t="s">
        <v>482</v>
      </c>
      <c r="H108" s="78" t="s">
        <v>482</v>
      </c>
      <c r="I108" s="78" t="s">
        <v>482</v>
      </c>
      <c r="J108" s="194" t="s">
        <v>826</v>
      </c>
      <c r="K108" s="195"/>
      <c r="L108" s="195"/>
      <c r="M108" s="195"/>
      <c r="N108" s="195"/>
      <c r="O108" s="195"/>
      <c r="P108" s="195"/>
      <c r="Q108" s="196"/>
    </row>
    <row r="109" spans="2:17">
      <c r="E109" s="47" t="s">
        <v>458</v>
      </c>
      <c r="F109" s="200" t="s">
        <v>535</v>
      </c>
      <c r="G109" s="200"/>
      <c r="H109" s="200"/>
      <c r="I109" s="200"/>
      <c r="J109" s="200"/>
      <c r="K109" s="200"/>
      <c r="L109" s="200"/>
      <c r="M109" s="200"/>
      <c r="N109" s="200"/>
      <c r="O109" s="200"/>
      <c r="P109" s="200"/>
      <c r="Q109" s="200"/>
    </row>
    <row r="110" spans="2:17">
      <c r="E110" s="47" t="s">
        <v>461</v>
      </c>
      <c r="F110" s="200" t="s">
        <v>321</v>
      </c>
      <c r="G110" s="200"/>
      <c r="H110" s="200"/>
      <c r="I110" s="200"/>
      <c r="J110" s="200"/>
      <c r="K110" s="200"/>
      <c r="L110" s="200"/>
      <c r="M110" s="200"/>
      <c r="N110" s="200"/>
      <c r="O110" s="200"/>
      <c r="P110" s="200"/>
      <c r="Q110" s="200"/>
    </row>
    <row r="111" spans="2:17">
      <c r="B111" s="43"/>
      <c r="E111" s="47" t="s">
        <v>485</v>
      </c>
      <c r="F111" s="201" t="s">
        <v>662</v>
      </c>
      <c r="G111" s="201"/>
      <c r="H111" s="201"/>
      <c r="I111" s="201"/>
      <c r="J111" s="201"/>
      <c r="K111" s="201"/>
      <c r="L111" s="201"/>
      <c r="M111" s="201"/>
      <c r="N111" s="201"/>
      <c r="O111" s="201"/>
      <c r="P111" s="201"/>
      <c r="Q111" s="201"/>
    </row>
    <row r="113" spans="2:17">
      <c r="B113" s="46" t="s">
        <v>465</v>
      </c>
      <c r="C113" s="46" t="s">
        <v>466</v>
      </c>
      <c r="E113" s="47"/>
      <c r="F113" s="47" t="s">
        <v>467</v>
      </c>
      <c r="G113" s="47" t="s">
        <v>468</v>
      </c>
      <c r="H113" s="47" t="s">
        <v>469</v>
      </c>
      <c r="I113" s="47" t="s">
        <v>470</v>
      </c>
      <c r="J113" s="47" t="s">
        <v>471</v>
      </c>
      <c r="K113" s="47" t="s">
        <v>472</v>
      </c>
      <c r="L113" s="47" t="s">
        <v>473</v>
      </c>
      <c r="M113" s="47" t="s">
        <v>474</v>
      </c>
      <c r="N113" s="47" t="s">
        <v>475</v>
      </c>
      <c r="O113" s="47" t="s">
        <v>476</v>
      </c>
      <c r="P113" s="47" t="s">
        <v>477</v>
      </c>
      <c r="Q113" s="47" t="s">
        <v>478</v>
      </c>
    </row>
    <row r="114" spans="2:17" ht="17" customHeight="1">
      <c r="B114" s="48" t="s">
        <v>817</v>
      </c>
      <c r="C114" s="48" t="s">
        <v>575</v>
      </c>
      <c r="E114" s="47" t="s">
        <v>480</v>
      </c>
      <c r="F114" s="62" t="s">
        <v>614</v>
      </c>
      <c r="G114" s="71" t="s">
        <v>373</v>
      </c>
      <c r="H114" s="71" t="s">
        <v>373</v>
      </c>
      <c r="I114" s="71" t="s">
        <v>373</v>
      </c>
      <c r="J114" s="179" t="s">
        <v>625</v>
      </c>
      <c r="K114" s="179"/>
      <c r="L114" s="179"/>
      <c r="M114" s="179"/>
      <c r="N114" s="179"/>
      <c r="O114" s="179"/>
      <c r="P114" s="179"/>
      <c r="Q114" s="179"/>
    </row>
    <row r="115" spans="2:17">
      <c r="E115" s="47" t="s">
        <v>481</v>
      </c>
      <c r="G115" s="78" t="s">
        <v>482</v>
      </c>
      <c r="H115" s="78" t="s">
        <v>482</v>
      </c>
      <c r="I115" s="78" t="s">
        <v>482</v>
      </c>
      <c r="J115" s="194" t="s">
        <v>826</v>
      </c>
      <c r="K115" s="195"/>
      <c r="L115" s="195"/>
      <c r="M115" s="195"/>
      <c r="N115" s="195"/>
      <c r="O115" s="195"/>
      <c r="P115" s="195"/>
      <c r="Q115" s="196"/>
    </row>
    <row r="116" spans="2:17">
      <c r="E116" s="47" t="s">
        <v>458</v>
      </c>
      <c r="F116" s="200" t="s">
        <v>535</v>
      </c>
      <c r="G116" s="200"/>
      <c r="H116" s="200"/>
      <c r="I116" s="200"/>
      <c r="J116" s="200"/>
      <c r="K116" s="200"/>
      <c r="L116" s="200"/>
      <c r="M116" s="200"/>
      <c r="N116" s="200"/>
      <c r="O116" s="200"/>
      <c r="P116" s="200"/>
      <c r="Q116" s="200"/>
    </row>
    <row r="117" spans="2:17">
      <c r="E117" s="47" t="s">
        <v>461</v>
      </c>
      <c r="F117" s="200" t="s">
        <v>321</v>
      </c>
      <c r="G117" s="200"/>
      <c r="H117" s="200"/>
      <c r="I117" s="200"/>
      <c r="J117" s="200"/>
      <c r="K117" s="200"/>
      <c r="L117" s="200"/>
      <c r="M117" s="200"/>
      <c r="N117" s="200"/>
      <c r="O117" s="200"/>
      <c r="P117" s="200"/>
      <c r="Q117" s="200"/>
    </row>
    <row r="118" spans="2:17" ht="17.2" customHeight="1">
      <c r="E118" s="47" t="s">
        <v>485</v>
      </c>
      <c r="F118" s="201" t="s">
        <v>662</v>
      </c>
      <c r="G118" s="201"/>
      <c r="H118" s="201"/>
      <c r="I118" s="201"/>
      <c r="J118" s="201"/>
      <c r="K118" s="201"/>
      <c r="L118" s="201"/>
      <c r="M118" s="201"/>
      <c r="N118" s="201"/>
      <c r="O118" s="201"/>
      <c r="P118" s="201"/>
      <c r="Q118" s="201"/>
    </row>
    <row r="120" spans="2:17">
      <c r="B120" s="46" t="s">
        <v>465</v>
      </c>
      <c r="C120" s="46" t="s">
        <v>466</v>
      </c>
      <c r="E120" s="47"/>
      <c r="F120" s="47" t="s">
        <v>467</v>
      </c>
      <c r="G120" s="47" t="s">
        <v>468</v>
      </c>
      <c r="H120" s="47" t="s">
        <v>469</v>
      </c>
      <c r="I120" s="47" t="s">
        <v>470</v>
      </c>
      <c r="J120" s="47" t="s">
        <v>471</v>
      </c>
      <c r="K120" s="47" t="s">
        <v>472</v>
      </c>
      <c r="L120" s="47" t="s">
        <v>473</v>
      </c>
      <c r="M120" s="47" t="s">
        <v>474</v>
      </c>
      <c r="N120" s="47" t="s">
        <v>475</v>
      </c>
      <c r="O120" s="47" t="s">
        <v>476</v>
      </c>
      <c r="P120" s="47" t="s">
        <v>477</v>
      </c>
      <c r="Q120" s="47" t="s">
        <v>478</v>
      </c>
    </row>
    <row r="121" spans="2:17" ht="17.2" customHeight="1">
      <c r="B121" s="48" t="s">
        <v>818</v>
      </c>
      <c r="C121" s="48" t="s">
        <v>576</v>
      </c>
      <c r="E121" s="47" t="s">
        <v>480</v>
      </c>
      <c r="F121" s="62" t="s">
        <v>776</v>
      </c>
      <c r="G121" s="71" t="s">
        <v>373</v>
      </c>
      <c r="H121" s="179" t="s">
        <v>633</v>
      </c>
      <c r="I121" s="179"/>
      <c r="J121" s="179"/>
      <c r="K121" s="179"/>
      <c r="L121" s="179"/>
      <c r="M121" s="179"/>
      <c r="N121" s="179"/>
      <c r="O121" s="179"/>
      <c r="P121" s="179"/>
      <c r="Q121" s="179"/>
    </row>
    <row r="122" spans="2:17">
      <c r="B122" s="43"/>
      <c r="E122" s="47" t="s">
        <v>481</v>
      </c>
      <c r="G122" s="78" t="s">
        <v>482</v>
      </c>
      <c r="H122" s="194" t="s">
        <v>490</v>
      </c>
      <c r="I122" s="195"/>
      <c r="J122" s="195"/>
      <c r="K122" s="195"/>
      <c r="L122" s="195"/>
      <c r="M122" s="195"/>
      <c r="N122" s="195"/>
      <c r="O122" s="195"/>
      <c r="P122" s="195"/>
      <c r="Q122" s="196"/>
    </row>
    <row r="123" spans="2:17">
      <c r="B123" s="43"/>
      <c r="E123" s="47" t="s">
        <v>458</v>
      </c>
      <c r="F123" s="200" t="s">
        <v>535</v>
      </c>
      <c r="G123" s="200"/>
      <c r="H123" s="200"/>
      <c r="I123" s="200"/>
      <c r="J123" s="200"/>
      <c r="K123" s="200"/>
      <c r="L123" s="200"/>
      <c r="M123" s="200"/>
      <c r="N123" s="200"/>
      <c r="O123" s="200"/>
      <c r="P123" s="200"/>
      <c r="Q123" s="200"/>
    </row>
    <row r="124" spans="2:17">
      <c r="B124" s="43"/>
      <c r="E124" s="47" t="s">
        <v>461</v>
      </c>
      <c r="F124" s="200" t="s">
        <v>321</v>
      </c>
      <c r="G124" s="200"/>
      <c r="H124" s="200"/>
      <c r="I124" s="200"/>
      <c r="J124" s="200"/>
      <c r="K124" s="200"/>
      <c r="L124" s="200"/>
      <c r="M124" s="200"/>
      <c r="N124" s="200"/>
      <c r="O124" s="200"/>
      <c r="P124" s="200"/>
      <c r="Q124" s="200"/>
    </row>
    <row r="125" spans="2:17" ht="17.2" customHeight="1">
      <c r="B125" s="43"/>
      <c r="E125" s="47" t="s">
        <v>485</v>
      </c>
      <c r="F125" s="201" t="s">
        <v>662</v>
      </c>
      <c r="G125" s="201"/>
      <c r="H125" s="201"/>
      <c r="I125" s="201"/>
      <c r="J125" s="201"/>
      <c r="K125" s="201"/>
      <c r="L125" s="201"/>
      <c r="M125" s="201"/>
      <c r="N125" s="201"/>
      <c r="O125" s="201"/>
      <c r="P125" s="201"/>
      <c r="Q125" s="201"/>
    </row>
    <row r="127" spans="2:17">
      <c r="B127" s="46" t="s">
        <v>465</v>
      </c>
      <c r="C127" s="46" t="s">
        <v>466</v>
      </c>
      <c r="E127" s="47"/>
      <c r="F127" s="47" t="s">
        <v>467</v>
      </c>
      <c r="G127" s="47" t="s">
        <v>468</v>
      </c>
      <c r="H127" s="47" t="s">
        <v>469</v>
      </c>
      <c r="I127" s="47" t="s">
        <v>470</v>
      </c>
      <c r="J127" s="47" t="s">
        <v>471</v>
      </c>
      <c r="K127" s="47" t="s">
        <v>472</v>
      </c>
      <c r="L127" s="47" t="s">
        <v>473</v>
      </c>
      <c r="M127" s="47" t="s">
        <v>474</v>
      </c>
      <c r="N127" s="47" t="s">
        <v>475</v>
      </c>
      <c r="O127" s="47" t="s">
        <v>476</v>
      </c>
      <c r="P127" s="47" t="s">
        <v>477</v>
      </c>
      <c r="Q127" s="47" t="s">
        <v>478</v>
      </c>
    </row>
    <row r="128" spans="2:17" ht="16.5" customHeight="1">
      <c r="B128" s="48" t="s">
        <v>819</v>
      </c>
      <c r="C128" s="48" t="s">
        <v>577</v>
      </c>
      <c r="E128" s="47" t="s">
        <v>480</v>
      </c>
      <c r="F128" s="62" t="s">
        <v>776</v>
      </c>
      <c r="G128" s="71" t="s">
        <v>373</v>
      </c>
      <c r="H128" s="179" t="s">
        <v>634</v>
      </c>
      <c r="I128" s="179"/>
      <c r="J128" s="179"/>
      <c r="K128" s="179"/>
      <c r="L128" s="179"/>
      <c r="M128" s="179"/>
      <c r="N128" s="179"/>
      <c r="O128" s="179"/>
      <c r="P128" s="179"/>
      <c r="Q128" s="179"/>
    </row>
    <row r="129" spans="2:17">
      <c r="E129" s="47" t="s">
        <v>481</v>
      </c>
      <c r="G129" s="78" t="s">
        <v>482</v>
      </c>
      <c r="H129" s="194" t="s">
        <v>490</v>
      </c>
      <c r="I129" s="195"/>
      <c r="J129" s="195"/>
      <c r="K129" s="195"/>
      <c r="L129" s="195"/>
      <c r="M129" s="195"/>
      <c r="N129" s="195"/>
      <c r="O129" s="195"/>
      <c r="P129" s="195"/>
      <c r="Q129" s="196"/>
    </row>
    <row r="130" spans="2:17">
      <c r="E130" s="47" t="s">
        <v>458</v>
      </c>
      <c r="F130" s="200" t="s">
        <v>535</v>
      </c>
      <c r="G130" s="200"/>
      <c r="H130" s="200"/>
      <c r="I130" s="200"/>
      <c r="J130" s="200"/>
      <c r="K130" s="200"/>
      <c r="L130" s="200"/>
      <c r="M130" s="200"/>
      <c r="N130" s="200"/>
      <c r="O130" s="200"/>
      <c r="P130" s="200"/>
      <c r="Q130" s="200"/>
    </row>
    <row r="131" spans="2:17">
      <c r="E131" s="47" t="s">
        <v>461</v>
      </c>
      <c r="F131" s="200" t="s">
        <v>321</v>
      </c>
      <c r="G131" s="200"/>
      <c r="H131" s="200"/>
      <c r="I131" s="200"/>
      <c r="J131" s="200"/>
      <c r="K131" s="200"/>
      <c r="L131" s="200"/>
      <c r="M131" s="200"/>
      <c r="N131" s="200"/>
      <c r="O131" s="200"/>
      <c r="P131" s="200"/>
      <c r="Q131" s="200"/>
    </row>
    <row r="132" spans="2:17" ht="17.2" customHeight="1">
      <c r="E132" s="47" t="s">
        <v>485</v>
      </c>
      <c r="F132" s="201" t="s">
        <v>662</v>
      </c>
      <c r="G132" s="201"/>
      <c r="H132" s="201"/>
      <c r="I132" s="201"/>
      <c r="J132" s="201"/>
      <c r="K132" s="201"/>
      <c r="L132" s="201"/>
      <c r="M132" s="201"/>
      <c r="N132" s="201"/>
      <c r="O132" s="201"/>
      <c r="P132" s="201"/>
      <c r="Q132" s="201"/>
    </row>
    <row r="133" spans="2:17" ht="17.2" customHeight="1">
      <c r="D133" s="45"/>
      <c r="E133" s="45"/>
      <c r="F133" s="45"/>
      <c r="G133" s="45"/>
      <c r="H133" s="45"/>
      <c r="I133" s="45"/>
      <c r="J133" s="45"/>
      <c r="K133" s="45"/>
      <c r="L133" s="45"/>
      <c r="M133" s="45"/>
      <c r="N133" s="45"/>
      <c r="O133" s="45"/>
      <c r="P133" s="45"/>
      <c r="Q133" s="45"/>
    </row>
    <row r="134" spans="2:17" ht="17.2" customHeight="1">
      <c r="B134" s="81" t="s">
        <v>787</v>
      </c>
      <c r="C134" s="82"/>
      <c r="D134" s="83"/>
      <c r="E134" s="84"/>
      <c r="F134" s="85"/>
      <c r="G134" s="85"/>
      <c r="H134" s="85"/>
      <c r="I134" s="85"/>
      <c r="J134" s="85"/>
      <c r="K134" s="85"/>
      <c r="L134" s="85"/>
      <c r="M134" s="85"/>
      <c r="N134" s="85"/>
      <c r="O134" s="85"/>
      <c r="P134" s="85"/>
      <c r="Q134" s="85"/>
    </row>
    <row r="135" spans="2:17">
      <c r="B135" s="46" t="s">
        <v>465</v>
      </c>
      <c r="C135" s="46" t="s">
        <v>466</v>
      </c>
      <c r="E135" s="47"/>
      <c r="F135" s="47" t="s">
        <v>467</v>
      </c>
      <c r="G135" s="47" t="s">
        <v>468</v>
      </c>
      <c r="H135" s="47" t="s">
        <v>469</v>
      </c>
      <c r="I135" s="47" t="s">
        <v>470</v>
      </c>
      <c r="J135" s="47" t="s">
        <v>471</v>
      </c>
      <c r="K135" s="47" t="s">
        <v>472</v>
      </c>
      <c r="L135" s="47" t="s">
        <v>473</v>
      </c>
      <c r="M135" s="47" t="s">
        <v>474</v>
      </c>
      <c r="N135" s="47" t="s">
        <v>475</v>
      </c>
      <c r="O135" s="47" t="s">
        <v>476</v>
      </c>
      <c r="P135" s="47" t="s">
        <v>477</v>
      </c>
      <c r="Q135" s="47" t="s">
        <v>478</v>
      </c>
    </row>
    <row r="136" spans="2:17">
      <c r="B136" s="48" t="s">
        <v>820</v>
      </c>
      <c r="C136" s="48" t="s">
        <v>578</v>
      </c>
      <c r="E136" s="47" t="s">
        <v>480</v>
      </c>
      <c r="F136" s="179" t="s">
        <v>622</v>
      </c>
      <c r="G136" s="179"/>
      <c r="H136" s="179"/>
      <c r="I136" s="179"/>
      <c r="J136" s="179"/>
      <c r="K136" s="179"/>
      <c r="L136" s="179"/>
      <c r="M136" s="179"/>
      <c r="N136" s="179"/>
      <c r="O136" s="179"/>
      <c r="P136" s="179"/>
      <c r="Q136" s="179"/>
    </row>
    <row r="137" spans="2:17">
      <c r="E137" s="47" t="s">
        <v>481</v>
      </c>
      <c r="F137" s="194" t="s">
        <v>490</v>
      </c>
      <c r="G137" s="195"/>
      <c r="H137" s="195"/>
      <c r="I137" s="195"/>
      <c r="J137" s="195"/>
      <c r="K137" s="195"/>
      <c r="L137" s="195"/>
      <c r="M137" s="195"/>
      <c r="N137" s="195"/>
      <c r="O137" s="195"/>
      <c r="P137" s="195"/>
      <c r="Q137" s="196"/>
    </row>
    <row r="138" spans="2:17">
      <c r="E138" s="47" t="s">
        <v>458</v>
      </c>
      <c r="F138" s="200" t="s">
        <v>535</v>
      </c>
      <c r="G138" s="200"/>
      <c r="H138" s="200"/>
      <c r="I138" s="200"/>
      <c r="J138" s="200"/>
      <c r="K138" s="200"/>
      <c r="L138" s="200"/>
      <c r="M138" s="200"/>
      <c r="N138" s="200"/>
      <c r="O138" s="200"/>
      <c r="P138" s="200"/>
      <c r="Q138" s="200"/>
    </row>
    <row r="139" spans="2:17">
      <c r="E139" s="47" t="s">
        <v>461</v>
      </c>
      <c r="F139" s="200" t="s">
        <v>321</v>
      </c>
      <c r="G139" s="200"/>
      <c r="H139" s="200"/>
      <c r="I139" s="200"/>
      <c r="J139" s="200"/>
      <c r="K139" s="200"/>
      <c r="L139" s="200"/>
      <c r="M139" s="200"/>
      <c r="N139" s="200"/>
      <c r="O139" s="200"/>
      <c r="P139" s="200"/>
      <c r="Q139" s="200"/>
    </row>
    <row r="140" spans="2:17">
      <c r="E140" s="47" t="s">
        <v>485</v>
      </c>
      <c r="F140" s="201" t="s">
        <v>662</v>
      </c>
      <c r="G140" s="201"/>
      <c r="H140" s="201"/>
      <c r="I140" s="201"/>
      <c r="J140" s="201"/>
      <c r="K140" s="201"/>
      <c r="L140" s="201"/>
      <c r="M140" s="201"/>
      <c r="N140" s="201"/>
      <c r="O140" s="201"/>
      <c r="P140" s="201"/>
      <c r="Q140" s="201"/>
    </row>
    <row r="142" spans="2:17">
      <c r="B142" s="46" t="s">
        <v>465</v>
      </c>
      <c r="C142" s="46" t="s">
        <v>466</v>
      </c>
      <c r="E142" s="47"/>
      <c r="F142" s="47" t="s">
        <v>467</v>
      </c>
      <c r="G142" s="47" t="s">
        <v>468</v>
      </c>
      <c r="H142" s="47" t="s">
        <v>469</v>
      </c>
      <c r="I142" s="47" t="s">
        <v>470</v>
      </c>
      <c r="J142" s="47" t="s">
        <v>471</v>
      </c>
      <c r="K142" s="47" t="s">
        <v>472</v>
      </c>
      <c r="L142" s="47" t="s">
        <v>473</v>
      </c>
      <c r="M142" s="47" t="s">
        <v>474</v>
      </c>
      <c r="N142" s="47" t="s">
        <v>475</v>
      </c>
      <c r="O142" s="47" t="s">
        <v>476</v>
      </c>
      <c r="P142" s="47" t="s">
        <v>477</v>
      </c>
      <c r="Q142" s="47" t="s">
        <v>478</v>
      </c>
    </row>
    <row r="143" spans="2:17">
      <c r="B143" s="48" t="s">
        <v>821</v>
      </c>
      <c r="C143" s="48" t="s">
        <v>810</v>
      </c>
      <c r="E143" s="47" t="s">
        <v>480</v>
      </c>
      <c r="F143" s="179" t="s">
        <v>623</v>
      </c>
      <c r="G143" s="179"/>
      <c r="H143" s="179"/>
      <c r="I143" s="179"/>
      <c r="J143" s="179"/>
      <c r="K143" s="179"/>
      <c r="L143" s="179"/>
      <c r="M143" s="179"/>
      <c r="N143" s="179"/>
      <c r="O143" s="179"/>
      <c r="P143" s="179"/>
      <c r="Q143" s="179"/>
    </row>
    <row r="144" spans="2:17">
      <c r="E144" s="47" t="s">
        <v>481</v>
      </c>
      <c r="F144" s="194" t="s">
        <v>490</v>
      </c>
      <c r="G144" s="195"/>
      <c r="H144" s="195"/>
      <c r="I144" s="195"/>
      <c r="J144" s="195"/>
      <c r="K144" s="195"/>
      <c r="L144" s="195"/>
      <c r="M144" s="195"/>
      <c r="N144" s="195"/>
      <c r="O144" s="195"/>
      <c r="P144" s="195"/>
      <c r="Q144" s="196"/>
    </row>
    <row r="145" spans="2:17">
      <c r="E145" s="47" t="s">
        <v>458</v>
      </c>
      <c r="F145" s="200" t="s">
        <v>535</v>
      </c>
      <c r="G145" s="200"/>
      <c r="H145" s="200"/>
      <c r="I145" s="200"/>
      <c r="J145" s="200"/>
      <c r="K145" s="200"/>
      <c r="L145" s="200"/>
      <c r="M145" s="200"/>
      <c r="N145" s="200"/>
      <c r="O145" s="200"/>
      <c r="P145" s="200"/>
      <c r="Q145" s="200"/>
    </row>
    <row r="146" spans="2:17">
      <c r="E146" s="47" t="s">
        <v>461</v>
      </c>
      <c r="F146" s="200" t="s">
        <v>321</v>
      </c>
      <c r="G146" s="200"/>
      <c r="H146" s="200"/>
      <c r="I146" s="200"/>
      <c r="J146" s="200"/>
      <c r="K146" s="200"/>
      <c r="L146" s="200"/>
      <c r="M146" s="200"/>
      <c r="N146" s="200"/>
      <c r="O146" s="200"/>
      <c r="P146" s="200"/>
      <c r="Q146" s="200"/>
    </row>
    <row r="147" spans="2:17" ht="17.2" customHeight="1">
      <c r="E147" s="47" t="s">
        <v>485</v>
      </c>
      <c r="F147" s="201" t="s">
        <v>662</v>
      </c>
      <c r="G147" s="201"/>
      <c r="H147" s="201"/>
      <c r="I147" s="201"/>
      <c r="J147" s="201"/>
      <c r="K147" s="201"/>
      <c r="L147" s="201"/>
      <c r="M147" s="201"/>
      <c r="N147" s="201"/>
      <c r="O147" s="201"/>
      <c r="P147" s="201"/>
      <c r="Q147" s="201"/>
    </row>
    <row r="149" spans="2:17">
      <c r="B149" s="46" t="s">
        <v>465</v>
      </c>
      <c r="C149" s="46" t="s">
        <v>466</v>
      </c>
      <c r="E149" s="47"/>
      <c r="F149" s="47" t="s">
        <v>467</v>
      </c>
      <c r="G149" s="47" t="s">
        <v>468</v>
      </c>
      <c r="H149" s="47" t="s">
        <v>469</v>
      </c>
      <c r="I149" s="47" t="s">
        <v>470</v>
      </c>
      <c r="J149" s="47" t="s">
        <v>471</v>
      </c>
      <c r="K149" s="47" t="s">
        <v>472</v>
      </c>
      <c r="L149" s="47" t="s">
        <v>473</v>
      </c>
      <c r="M149" s="47" t="s">
        <v>474</v>
      </c>
      <c r="N149" s="47" t="s">
        <v>475</v>
      </c>
      <c r="O149" s="47" t="s">
        <v>476</v>
      </c>
      <c r="P149" s="47" t="s">
        <v>477</v>
      </c>
      <c r="Q149" s="47" t="s">
        <v>478</v>
      </c>
    </row>
    <row r="150" spans="2:17" ht="16.5" customHeight="1">
      <c r="B150" s="48" t="s">
        <v>822</v>
      </c>
      <c r="C150" s="48" t="s">
        <v>811</v>
      </c>
      <c r="E150" s="47" t="s">
        <v>480</v>
      </c>
      <c r="F150" s="179" t="s">
        <v>624</v>
      </c>
      <c r="G150" s="179"/>
      <c r="H150" s="179"/>
      <c r="I150" s="179"/>
      <c r="J150" s="179"/>
      <c r="K150" s="179"/>
      <c r="L150" s="179"/>
      <c r="M150" s="179"/>
      <c r="N150" s="179"/>
      <c r="O150" s="179"/>
      <c r="P150" s="179"/>
      <c r="Q150" s="179"/>
    </row>
    <row r="151" spans="2:17">
      <c r="B151" s="43"/>
      <c r="E151" s="47" t="s">
        <v>481</v>
      </c>
      <c r="F151" s="194" t="s">
        <v>490</v>
      </c>
      <c r="G151" s="195"/>
      <c r="H151" s="195"/>
      <c r="I151" s="195"/>
      <c r="J151" s="195"/>
      <c r="K151" s="195"/>
      <c r="L151" s="195"/>
      <c r="M151" s="195"/>
      <c r="N151" s="195"/>
      <c r="O151" s="195"/>
      <c r="P151" s="195"/>
      <c r="Q151" s="196"/>
    </row>
    <row r="152" spans="2:17">
      <c r="B152" s="43"/>
      <c r="E152" s="47" t="s">
        <v>458</v>
      </c>
      <c r="F152" s="200" t="s">
        <v>535</v>
      </c>
      <c r="G152" s="200"/>
      <c r="H152" s="200"/>
      <c r="I152" s="200"/>
      <c r="J152" s="200"/>
      <c r="K152" s="200"/>
      <c r="L152" s="200"/>
      <c r="M152" s="200"/>
      <c r="N152" s="200"/>
      <c r="O152" s="200"/>
      <c r="P152" s="200"/>
      <c r="Q152" s="200"/>
    </row>
    <row r="153" spans="2:17">
      <c r="B153" s="43"/>
      <c r="E153" s="47" t="s">
        <v>461</v>
      </c>
      <c r="F153" s="200" t="s">
        <v>321</v>
      </c>
      <c r="G153" s="200"/>
      <c r="H153" s="200"/>
      <c r="I153" s="200"/>
      <c r="J153" s="200"/>
      <c r="K153" s="200"/>
      <c r="L153" s="200"/>
      <c r="M153" s="200"/>
      <c r="N153" s="200"/>
      <c r="O153" s="200"/>
      <c r="P153" s="200"/>
      <c r="Q153" s="200"/>
    </row>
    <row r="154" spans="2:17">
      <c r="B154" s="43"/>
      <c r="E154" s="47" t="s">
        <v>485</v>
      </c>
      <c r="F154" s="201" t="s">
        <v>662</v>
      </c>
      <c r="G154" s="201"/>
      <c r="H154" s="201"/>
      <c r="I154" s="201"/>
      <c r="J154" s="201"/>
      <c r="K154" s="201"/>
      <c r="L154" s="201"/>
      <c r="M154" s="201"/>
      <c r="N154" s="201"/>
      <c r="O154" s="201"/>
      <c r="P154" s="201"/>
      <c r="Q154" s="201"/>
    </row>
    <row r="156" spans="2:17">
      <c r="B156" s="46" t="s">
        <v>465</v>
      </c>
      <c r="C156" s="46" t="s">
        <v>466</v>
      </c>
      <c r="E156" s="47"/>
      <c r="F156" s="47" t="s">
        <v>467</v>
      </c>
      <c r="G156" s="47" t="s">
        <v>468</v>
      </c>
      <c r="H156" s="47" t="s">
        <v>469</v>
      </c>
      <c r="I156" s="47" t="s">
        <v>470</v>
      </c>
      <c r="J156" s="47" t="s">
        <v>471</v>
      </c>
      <c r="K156" s="47" t="s">
        <v>472</v>
      </c>
      <c r="L156" s="47" t="s">
        <v>473</v>
      </c>
      <c r="M156" s="47" t="s">
        <v>474</v>
      </c>
      <c r="N156" s="47" t="s">
        <v>475</v>
      </c>
      <c r="O156" s="47" t="s">
        <v>476</v>
      </c>
      <c r="P156" s="47" t="s">
        <v>477</v>
      </c>
      <c r="Q156" s="47" t="s">
        <v>478</v>
      </c>
    </row>
    <row r="157" spans="2:17">
      <c r="B157" s="48" t="s">
        <v>823</v>
      </c>
      <c r="C157" s="48" t="s">
        <v>812</v>
      </c>
      <c r="E157" s="47" t="s">
        <v>480</v>
      </c>
      <c r="F157" s="71" t="s">
        <v>373</v>
      </c>
      <c r="G157" s="71" t="s">
        <v>373</v>
      </c>
      <c r="H157" s="71" t="s">
        <v>373</v>
      </c>
      <c r="I157" s="71" t="s">
        <v>373</v>
      </c>
      <c r="J157" s="179" t="s">
        <v>549</v>
      </c>
      <c r="K157" s="179"/>
      <c r="L157" s="179"/>
      <c r="M157" s="179"/>
      <c r="N157" s="179"/>
      <c r="O157" s="179"/>
      <c r="P157" s="179"/>
      <c r="Q157" s="179"/>
    </row>
    <row r="158" spans="2:17">
      <c r="E158" s="47" t="s">
        <v>481</v>
      </c>
      <c r="F158" s="78" t="s">
        <v>482</v>
      </c>
      <c r="G158" s="78" t="s">
        <v>482</v>
      </c>
      <c r="H158" s="78" t="s">
        <v>482</v>
      </c>
      <c r="I158" s="78" t="s">
        <v>482</v>
      </c>
      <c r="J158" s="194" t="s">
        <v>490</v>
      </c>
      <c r="K158" s="195"/>
      <c r="L158" s="195"/>
      <c r="M158" s="195"/>
      <c r="N158" s="195"/>
      <c r="O158" s="195"/>
      <c r="P158" s="195"/>
      <c r="Q158" s="196"/>
    </row>
    <row r="159" spans="2:17">
      <c r="E159" s="47" t="s">
        <v>458</v>
      </c>
      <c r="F159" s="200" t="s">
        <v>535</v>
      </c>
      <c r="G159" s="200"/>
      <c r="H159" s="200"/>
      <c r="I159" s="200"/>
      <c r="J159" s="200"/>
      <c r="K159" s="200"/>
      <c r="L159" s="200"/>
      <c r="M159" s="200"/>
      <c r="N159" s="200"/>
      <c r="O159" s="200"/>
      <c r="P159" s="200"/>
      <c r="Q159" s="200"/>
    </row>
    <row r="160" spans="2:17">
      <c r="E160" s="47" t="s">
        <v>461</v>
      </c>
      <c r="F160" s="200" t="s">
        <v>321</v>
      </c>
      <c r="G160" s="200"/>
      <c r="H160" s="200"/>
      <c r="I160" s="200"/>
      <c r="J160" s="200"/>
      <c r="K160" s="200"/>
      <c r="L160" s="200"/>
      <c r="M160" s="200"/>
      <c r="N160" s="200"/>
      <c r="O160" s="200"/>
      <c r="P160" s="200"/>
      <c r="Q160" s="200"/>
    </row>
    <row r="161" spans="2:17" ht="17.2" customHeight="1">
      <c r="E161" s="47" t="s">
        <v>485</v>
      </c>
      <c r="F161" s="201" t="s">
        <v>662</v>
      </c>
      <c r="G161" s="201"/>
      <c r="H161" s="201"/>
      <c r="I161" s="201"/>
      <c r="J161" s="201"/>
      <c r="K161" s="201"/>
      <c r="L161" s="201"/>
      <c r="M161" s="201"/>
      <c r="N161" s="201"/>
      <c r="O161" s="201"/>
      <c r="P161" s="201"/>
      <c r="Q161" s="201"/>
    </row>
    <row r="163" spans="2:17">
      <c r="B163" s="46" t="s">
        <v>465</v>
      </c>
      <c r="C163" s="46" t="s">
        <v>466</v>
      </c>
      <c r="E163" s="47"/>
      <c r="F163" s="47" t="s">
        <v>467</v>
      </c>
      <c r="G163" s="47" t="s">
        <v>468</v>
      </c>
      <c r="H163" s="47" t="s">
        <v>469</v>
      </c>
      <c r="I163" s="47" t="s">
        <v>470</v>
      </c>
      <c r="J163" s="47" t="s">
        <v>471</v>
      </c>
      <c r="K163" s="47" t="s">
        <v>472</v>
      </c>
      <c r="L163" s="47" t="s">
        <v>473</v>
      </c>
      <c r="M163" s="47" t="s">
        <v>474</v>
      </c>
      <c r="N163" s="47" t="s">
        <v>475</v>
      </c>
      <c r="O163" s="47" t="s">
        <v>476</v>
      </c>
      <c r="P163" s="47" t="s">
        <v>477</v>
      </c>
      <c r="Q163" s="47" t="s">
        <v>478</v>
      </c>
    </row>
    <row r="164" spans="2:17">
      <c r="B164" s="48" t="s">
        <v>824</v>
      </c>
      <c r="C164" s="48" t="s">
        <v>798</v>
      </c>
      <c r="E164" s="47" t="s">
        <v>480</v>
      </c>
      <c r="F164" s="71" t="s">
        <v>373</v>
      </c>
      <c r="G164" s="71" t="s">
        <v>373</v>
      </c>
      <c r="H164" s="71" t="s">
        <v>373</v>
      </c>
      <c r="I164" s="71" t="s">
        <v>373</v>
      </c>
      <c r="J164" s="71" t="s">
        <v>373</v>
      </c>
      <c r="K164" s="71" t="s">
        <v>373</v>
      </c>
      <c r="L164" s="71" t="s">
        <v>373</v>
      </c>
      <c r="M164" s="71" t="s">
        <v>373</v>
      </c>
      <c r="N164" s="71" t="s">
        <v>373</v>
      </c>
      <c r="O164" s="71" t="s">
        <v>373</v>
      </c>
      <c r="P164" s="71" t="s">
        <v>373</v>
      </c>
      <c r="Q164" s="71" t="s">
        <v>373</v>
      </c>
    </row>
    <row r="165" spans="2:17">
      <c r="C165" s="43"/>
      <c r="E165" s="47" t="s">
        <v>481</v>
      </c>
      <c r="F165" s="75" t="s">
        <v>482</v>
      </c>
      <c r="G165" s="76" t="s">
        <v>482</v>
      </c>
      <c r="H165" s="76" t="s">
        <v>482</v>
      </c>
      <c r="I165" s="76" t="s">
        <v>482</v>
      </c>
      <c r="J165" s="76" t="s">
        <v>482</v>
      </c>
      <c r="K165" s="76" t="s">
        <v>482</v>
      </c>
      <c r="L165" s="76" t="s">
        <v>482</v>
      </c>
      <c r="M165" s="76" t="s">
        <v>482</v>
      </c>
      <c r="N165" s="76" t="s">
        <v>482</v>
      </c>
      <c r="O165" s="76" t="s">
        <v>482</v>
      </c>
      <c r="P165" s="76" t="s">
        <v>482</v>
      </c>
      <c r="Q165" s="77" t="s">
        <v>482</v>
      </c>
    </row>
    <row r="166" spans="2:17">
      <c r="C166" s="43"/>
      <c r="E166" s="47" t="s">
        <v>458</v>
      </c>
      <c r="F166" s="200" t="s">
        <v>535</v>
      </c>
      <c r="G166" s="200"/>
      <c r="H166" s="200"/>
      <c r="I166" s="200"/>
      <c r="J166" s="200"/>
      <c r="K166" s="200"/>
      <c r="L166" s="200"/>
      <c r="M166" s="200"/>
      <c r="N166" s="200"/>
      <c r="O166" s="200"/>
      <c r="P166" s="200"/>
      <c r="Q166" s="200"/>
    </row>
    <row r="167" spans="2:17">
      <c r="C167" s="43"/>
      <c r="E167" s="47" t="s">
        <v>461</v>
      </c>
      <c r="F167" s="200" t="s">
        <v>321</v>
      </c>
      <c r="G167" s="200"/>
      <c r="H167" s="200"/>
      <c r="I167" s="200"/>
      <c r="J167" s="200"/>
      <c r="K167" s="200"/>
      <c r="L167" s="200"/>
      <c r="M167" s="200"/>
      <c r="N167" s="200"/>
      <c r="O167" s="200"/>
      <c r="P167" s="200"/>
      <c r="Q167" s="200"/>
    </row>
    <row r="168" spans="2:17">
      <c r="C168" s="43"/>
      <c r="E168" s="47" t="s">
        <v>485</v>
      </c>
      <c r="F168" s="201" t="s">
        <v>662</v>
      </c>
      <c r="G168" s="201"/>
      <c r="H168" s="201"/>
      <c r="I168" s="201"/>
      <c r="J168" s="201"/>
      <c r="K168" s="201"/>
      <c r="L168" s="201"/>
      <c r="M168" s="201"/>
      <c r="N168" s="201"/>
      <c r="O168" s="201"/>
      <c r="P168" s="201"/>
      <c r="Q168" s="201"/>
    </row>
    <row r="170" spans="2:17">
      <c r="B170" s="46" t="s">
        <v>465</v>
      </c>
      <c r="C170" s="46" t="s">
        <v>466</v>
      </c>
      <c r="E170" s="47"/>
      <c r="F170" s="47" t="s">
        <v>467</v>
      </c>
      <c r="G170" s="47" t="s">
        <v>468</v>
      </c>
      <c r="H170" s="47" t="s">
        <v>469</v>
      </c>
      <c r="I170" s="47" t="s">
        <v>470</v>
      </c>
      <c r="J170" s="47" t="s">
        <v>471</v>
      </c>
      <c r="K170" s="47" t="s">
        <v>472</v>
      </c>
      <c r="L170" s="47" t="s">
        <v>473</v>
      </c>
      <c r="M170" s="47" t="s">
        <v>474</v>
      </c>
      <c r="N170" s="47" t="s">
        <v>475</v>
      </c>
      <c r="O170" s="47" t="s">
        <v>476</v>
      </c>
      <c r="P170" s="47" t="s">
        <v>477</v>
      </c>
      <c r="Q170" s="47" t="s">
        <v>478</v>
      </c>
    </row>
    <row r="171" spans="2:17" ht="17" customHeight="1">
      <c r="B171" s="48" t="s">
        <v>825</v>
      </c>
      <c r="C171" s="48" t="s">
        <v>799</v>
      </c>
      <c r="E171" s="47" t="s">
        <v>480</v>
      </c>
      <c r="F171" s="62" t="s">
        <v>614</v>
      </c>
      <c r="G171" s="62" t="s">
        <v>614</v>
      </c>
      <c r="H171" s="62" t="s">
        <v>614</v>
      </c>
      <c r="I171" s="62" t="s">
        <v>614</v>
      </c>
      <c r="J171" s="62" t="s">
        <v>614</v>
      </c>
      <c r="K171" s="62" t="s">
        <v>614</v>
      </c>
      <c r="L171" s="62" t="s">
        <v>614</v>
      </c>
      <c r="M171" s="62" t="s">
        <v>614</v>
      </c>
      <c r="N171" s="71" t="s">
        <v>373</v>
      </c>
      <c r="O171" s="71" t="s">
        <v>373</v>
      </c>
      <c r="P171" s="71" t="s">
        <v>373</v>
      </c>
      <c r="Q171" s="71" t="s">
        <v>373</v>
      </c>
    </row>
    <row r="172" spans="2:17">
      <c r="E172" s="47" t="s">
        <v>481</v>
      </c>
      <c r="F172" s="56"/>
      <c r="G172" s="57"/>
      <c r="H172" s="57"/>
      <c r="I172" s="57"/>
      <c r="J172" s="57"/>
      <c r="K172" s="57"/>
      <c r="L172" s="57"/>
      <c r="M172" s="57"/>
      <c r="N172" s="76" t="s">
        <v>482</v>
      </c>
      <c r="O172" s="76" t="s">
        <v>482</v>
      </c>
      <c r="P172" s="76" t="s">
        <v>482</v>
      </c>
      <c r="Q172" s="77" t="s">
        <v>482</v>
      </c>
    </row>
    <row r="173" spans="2:17">
      <c r="E173" s="47" t="s">
        <v>458</v>
      </c>
      <c r="F173" s="200" t="s">
        <v>535</v>
      </c>
      <c r="G173" s="200"/>
      <c r="H173" s="200"/>
      <c r="I173" s="200"/>
      <c r="J173" s="200"/>
      <c r="K173" s="200"/>
      <c r="L173" s="200"/>
      <c r="M173" s="200"/>
      <c r="N173" s="200"/>
      <c r="O173" s="200"/>
      <c r="P173" s="200"/>
      <c r="Q173" s="200"/>
    </row>
    <row r="174" spans="2:17">
      <c r="E174" s="47" t="s">
        <v>461</v>
      </c>
      <c r="F174" s="200" t="s">
        <v>321</v>
      </c>
      <c r="G174" s="200"/>
      <c r="H174" s="200"/>
      <c r="I174" s="200"/>
      <c r="J174" s="200"/>
      <c r="K174" s="200"/>
      <c r="L174" s="200"/>
      <c r="M174" s="200"/>
      <c r="N174" s="200"/>
      <c r="O174" s="200"/>
      <c r="P174" s="200"/>
      <c r="Q174" s="200"/>
    </row>
    <row r="175" spans="2:17" ht="17.2" customHeight="1">
      <c r="E175" s="47" t="s">
        <v>485</v>
      </c>
      <c r="F175" s="201" t="s">
        <v>662</v>
      </c>
      <c r="G175" s="201"/>
      <c r="H175" s="201"/>
      <c r="I175" s="201"/>
      <c r="J175" s="201"/>
      <c r="K175" s="201"/>
      <c r="L175" s="201"/>
      <c r="M175" s="201"/>
      <c r="N175" s="201"/>
      <c r="O175" s="201"/>
      <c r="P175" s="201"/>
      <c r="Q175" s="201"/>
    </row>
  </sheetData>
  <mergeCells count="135">
    <mergeCell ref="H121:Q121"/>
    <mergeCell ref="H128:Q128"/>
    <mergeCell ref="F136:Q136"/>
    <mergeCell ref="F143:Q143"/>
    <mergeCell ref="I45:K45"/>
    <mergeCell ref="F45:H45"/>
    <mergeCell ref="N66:Q66"/>
    <mergeCell ref="F66:M66"/>
    <mergeCell ref="I87:Q87"/>
    <mergeCell ref="M94:Q94"/>
    <mergeCell ref="J101:Q101"/>
    <mergeCell ref="J108:Q108"/>
    <mergeCell ref="J115:Q115"/>
    <mergeCell ref="H122:Q122"/>
    <mergeCell ref="H129:Q129"/>
    <mergeCell ref="N58:Q58"/>
    <mergeCell ref="F65:M65"/>
    <mergeCell ref="F109:Q109"/>
    <mergeCell ref="F110:Q110"/>
    <mergeCell ref="F111:Q111"/>
    <mergeCell ref="F116:Q116"/>
    <mergeCell ref="F117:Q117"/>
    <mergeCell ref="F81:Q81"/>
    <mergeCell ref="F82:Q82"/>
    <mergeCell ref="F130:Q130"/>
    <mergeCell ref="F131:Q131"/>
    <mergeCell ref="F132:Q132"/>
    <mergeCell ref="F137:Q137"/>
    <mergeCell ref="F138:Q138"/>
    <mergeCell ref="F139:Q139"/>
    <mergeCell ref="F140:Q140"/>
    <mergeCell ref="F144:Q144"/>
    <mergeCell ref="F145:Q145"/>
    <mergeCell ref="J100:Q100"/>
    <mergeCell ref="J107:Q107"/>
    <mergeCell ref="F89:Q89"/>
    <mergeCell ref="F90:Q90"/>
    <mergeCell ref="I86:Q86"/>
    <mergeCell ref="J114:Q114"/>
    <mergeCell ref="J157:Q157"/>
    <mergeCell ref="F174:Q174"/>
    <mergeCell ref="F175:Q175"/>
    <mergeCell ref="F166:Q166"/>
    <mergeCell ref="F167:Q167"/>
    <mergeCell ref="F168:Q168"/>
    <mergeCell ref="F173:Q173"/>
    <mergeCell ref="F154:Q154"/>
    <mergeCell ref="F159:Q159"/>
    <mergeCell ref="F160:Q160"/>
    <mergeCell ref="F161:Q161"/>
    <mergeCell ref="J158:Q158"/>
    <mergeCell ref="F146:Q146"/>
    <mergeCell ref="F147:Q147"/>
    <mergeCell ref="F151:Q151"/>
    <mergeCell ref="F152:Q152"/>
    <mergeCell ref="F153:Q153"/>
    <mergeCell ref="F150:Q150"/>
    <mergeCell ref="F38:Q38"/>
    <mergeCell ref="F39:Q39"/>
    <mergeCell ref="F40:Q40"/>
    <mergeCell ref="F46:Q46"/>
    <mergeCell ref="F47:Q47"/>
    <mergeCell ref="F48:Q48"/>
    <mergeCell ref="L44:Q44"/>
    <mergeCell ref="L45:Q45"/>
    <mergeCell ref="F60:Q60"/>
    <mergeCell ref="F44:H44"/>
    <mergeCell ref="I44:K44"/>
    <mergeCell ref="F51:G51"/>
    <mergeCell ref="H51:I51"/>
    <mergeCell ref="H52:I52"/>
    <mergeCell ref="F52:G52"/>
    <mergeCell ref="M51:Q51"/>
    <mergeCell ref="J51:L51"/>
    <mergeCell ref="M52:Q52"/>
    <mergeCell ref="J52:L52"/>
    <mergeCell ref="F61:Q61"/>
    <mergeCell ref="F62:Q62"/>
    <mergeCell ref="F102:Q102"/>
    <mergeCell ref="F103:Q103"/>
    <mergeCell ref="F104:Q104"/>
    <mergeCell ref="F53:Q53"/>
    <mergeCell ref="F54:Q54"/>
    <mergeCell ref="F55:Q55"/>
    <mergeCell ref="F118:Q118"/>
    <mergeCell ref="H58:M58"/>
    <mergeCell ref="H59:Q59"/>
    <mergeCell ref="N65:Q65"/>
    <mergeCell ref="F67:Q67"/>
    <mergeCell ref="F68:Q68"/>
    <mergeCell ref="F69:Q69"/>
    <mergeCell ref="F74:Q74"/>
    <mergeCell ref="F75:Q75"/>
    <mergeCell ref="F76:Q76"/>
    <mergeCell ref="F95:Q95"/>
    <mergeCell ref="F96:Q96"/>
    <mergeCell ref="F97:Q97"/>
    <mergeCell ref="F83:Q83"/>
    <mergeCell ref="F88:Q88"/>
    <mergeCell ref="M93:Q93"/>
    <mergeCell ref="F123:Q123"/>
    <mergeCell ref="F124:Q124"/>
    <mergeCell ref="F125:Q125"/>
    <mergeCell ref="E3:Q3"/>
    <mergeCell ref="E4:Q4"/>
    <mergeCell ref="E5:Q5"/>
    <mergeCell ref="E8:Q8"/>
    <mergeCell ref="E9:Q9"/>
    <mergeCell ref="E10:Q10"/>
    <mergeCell ref="L15:N15"/>
    <mergeCell ref="I15:K15"/>
    <mergeCell ref="I16:K16"/>
    <mergeCell ref="L16:N16"/>
    <mergeCell ref="E11:Q11"/>
    <mergeCell ref="F30:Q30"/>
    <mergeCell ref="F31:Q31"/>
    <mergeCell ref="F32:Q32"/>
    <mergeCell ref="F33:Q33"/>
    <mergeCell ref="F36:Q36"/>
    <mergeCell ref="F37:Q37"/>
    <mergeCell ref="J24:M24"/>
    <mergeCell ref="N24:Q24"/>
    <mergeCell ref="J25:M25"/>
    <mergeCell ref="N25:Q25"/>
    <mergeCell ref="F26:Q26"/>
    <mergeCell ref="F29:Q29"/>
    <mergeCell ref="F19:Q19"/>
    <mergeCell ref="J22:M22"/>
    <mergeCell ref="N22:Q22"/>
    <mergeCell ref="J23:M23"/>
    <mergeCell ref="N23:Q23"/>
    <mergeCell ref="I17:K17"/>
    <mergeCell ref="I18:K18"/>
    <mergeCell ref="L17:N17"/>
    <mergeCell ref="L18:N18"/>
  </mergeCells>
  <phoneticPr fontId="1" type="noConversion"/>
  <conditionalFormatting sqref="N128">
    <cfRule type="cellIs" dxfId="0" priority="1" operator="equal">
      <formula>"RSVD"</formula>
    </cfRule>
  </conditionalFormatting>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1BC64-8D83-488D-A353-F1DE592EF260}">
  <dimension ref="A33:A40"/>
  <sheetViews>
    <sheetView showGridLines="0" topLeftCell="A13" workbookViewId="0"/>
  </sheetViews>
  <sheetFormatPr defaultRowHeight="16.899999999999999"/>
  <cols>
    <col min="22" max="111" width="1.5625" customWidth="1"/>
  </cols>
  <sheetData>
    <row r="33" customFormat="1"/>
    <row r="34" customFormat="1"/>
    <row r="35" customFormat="1"/>
    <row r="36" customFormat="1"/>
    <row r="37" customFormat="1"/>
    <row r="38" customFormat="1"/>
    <row r="39" customFormat="1"/>
    <row r="40" customFormat="1"/>
  </sheetData>
  <phoneticPr fontId="1" type="noConversion"/>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문서" ma:contentTypeID="0x010100AFC4A675C1E113449D0248043CD1C0F7" ma:contentTypeVersion="4" ma:contentTypeDescription="새 문서를 만듭니다." ma:contentTypeScope="" ma:versionID="b5bb315d749e6b00b177ef1d11898eef">
  <xsd:schema xmlns:xsd="http://www.w3.org/2001/XMLSchema" xmlns:xs="http://www.w3.org/2001/XMLSchema" xmlns:p="http://schemas.microsoft.com/office/2006/metadata/properties" xmlns:ns3="b68af7c0-9cef-4e12-8243-523fceba86ee" targetNamespace="http://schemas.microsoft.com/office/2006/metadata/properties" ma:root="true" ma:fieldsID="3390cc5023201d4da9fc1987b8c9f5b3" ns3:_="">
    <xsd:import namespace="b68af7c0-9cef-4e12-8243-523fceba86ee"/>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8af7c0-9cef-4e12-8243-523fceba86e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FA6EABE-8AB2-4F09-9588-B0ABB21088E7}">
  <ds:schemaRefs>
    <ds:schemaRef ds:uri="http://schemas.microsoft.com/sharepoint/v3/contenttype/forms"/>
  </ds:schemaRefs>
</ds:datastoreItem>
</file>

<file path=customXml/itemProps2.xml><?xml version="1.0" encoding="utf-8"?>
<ds:datastoreItem xmlns:ds="http://schemas.openxmlformats.org/officeDocument/2006/customXml" ds:itemID="{20471719-FAA9-4D0C-8667-77B155C463B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68af7c0-9cef-4e12-8243-523fceba86e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BD95706-052F-49CB-9E74-539B940F811A}">
  <ds:schemaRefs>
    <ds:schemaRef ds:uri="http://schemas.openxmlformats.org/package/2006/metadata/core-properties"/>
    <ds:schemaRef ds:uri="http://purl.org/dc/elements/1.1/"/>
    <ds:schemaRef ds:uri="http://www.w3.org/XML/1998/namespace"/>
    <ds:schemaRef ds:uri="http://schemas.microsoft.com/office/2006/documentManagement/types"/>
    <ds:schemaRef ds:uri="http://purl.org/dc/terms/"/>
    <ds:schemaRef ds:uri="http://schemas.microsoft.com/office/infopath/2007/PartnerControls"/>
    <ds:schemaRef ds:uri="http://purl.org/dc/dcmitype/"/>
    <ds:schemaRef ds:uri="b68af7c0-9cef-4e12-8243-523fceba86ee"/>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9</vt:i4>
      </vt:variant>
      <vt:variant>
        <vt:lpstr>이름 지정된 범위</vt:lpstr>
      </vt:variant>
      <vt:variant>
        <vt:i4>1</vt:i4>
      </vt:variant>
    </vt:vector>
  </HeadingPairs>
  <TitlesOfParts>
    <vt:vector size="10" baseType="lpstr">
      <vt:lpstr>WR command</vt:lpstr>
      <vt:lpstr> RD command</vt:lpstr>
      <vt:lpstr>frame format</vt:lpstr>
      <vt:lpstr>Command</vt:lpstr>
      <vt:lpstr>Register Table</vt:lpstr>
      <vt:lpstr>Register Description</vt:lpstr>
      <vt:lpstr>Testmode Reg. Table</vt:lpstr>
      <vt:lpstr>Testmode Reg. Description</vt:lpstr>
      <vt:lpstr>adc</vt:lpstr>
      <vt:lpstr>Command!OLE_LINK288</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Jinsu Yun</dc:creator>
  <cp:keywords/>
  <dc:description/>
  <cp:lastModifiedBy>이 준영</cp:lastModifiedBy>
  <cp:revision/>
  <dcterms:created xsi:type="dcterms:W3CDTF">2024-01-25T03:49:01Z</dcterms:created>
  <dcterms:modified xsi:type="dcterms:W3CDTF">2024-09-19T01:46:09Z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d0bc021-0c43-4029-a072-964d39f3070b_Enabled">
    <vt:lpwstr>true</vt:lpwstr>
  </property>
  <property fmtid="{D5CDD505-2E9C-101B-9397-08002B2CF9AE}" pid="3" name="MSIP_Label_cd0bc021-0c43-4029-a072-964d39f3070b_SetDate">
    <vt:lpwstr>2023-12-12T01:15:28Z</vt:lpwstr>
  </property>
  <property fmtid="{D5CDD505-2E9C-101B-9397-08002B2CF9AE}" pid="4" name="MSIP_Label_cd0bc021-0c43-4029-a072-964d39f3070b_Method">
    <vt:lpwstr>Privileged</vt:lpwstr>
  </property>
  <property fmtid="{D5CDD505-2E9C-101B-9397-08002B2CF9AE}" pid="5" name="MSIP_Label_cd0bc021-0c43-4029-a072-964d39f3070b_Name">
    <vt:lpwstr>일반(General)</vt:lpwstr>
  </property>
  <property fmtid="{D5CDD505-2E9C-101B-9397-08002B2CF9AE}" pid="6" name="MSIP_Label_cd0bc021-0c43-4029-a072-964d39f3070b_SiteId">
    <vt:lpwstr>7cf932c0-bced-4490-b11f-48d23b1fe0d9</vt:lpwstr>
  </property>
  <property fmtid="{D5CDD505-2E9C-101B-9397-08002B2CF9AE}" pid="7" name="MSIP_Label_cd0bc021-0c43-4029-a072-964d39f3070b_ActionId">
    <vt:lpwstr>b91b8505-5c9a-49f7-8ed7-1c4a1b5141a2</vt:lpwstr>
  </property>
  <property fmtid="{D5CDD505-2E9C-101B-9397-08002B2CF9AE}" pid="8" name="MSIP_Label_cd0bc021-0c43-4029-a072-964d39f3070b_ContentBits">
    <vt:lpwstr>0</vt:lpwstr>
  </property>
  <property fmtid="{D5CDD505-2E9C-101B-9397-08002B2CF9AE}" pid="9" name="MediaServiceImageTags">
    <vt:lpwstr/>
  </property>
  <property fmtid="{D5CDD505-2E9C-101B-9397-08002B2CF9AE}" pid="10" name="ContentTypeId">
    <vt:lpwstr>0x010100AFC4A675C1E113449D0248043CD1C0F7</vt:lpwstr>
  </property>
</Properties>
</file>